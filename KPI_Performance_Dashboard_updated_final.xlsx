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05F850-0BE7-4937-A5F6-5BE8EC39E30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Data Model" sheetId="2" r:id="rId2"/>
    <sheet name="Dataset" sheetId="3" r:id="rId3"/>
  </sheets>
  <externalReferences>
    <externalReference r:id="rId4"/>
  </externalReferences>
  <definedNames>
    <definedName name="_xlnm.Print_Area" localSheetId="0">Dashboard!$B$1:$AB$123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W15" i="1"/>
  <c r="C15" i="1"/>
  <c r="D105" i="1"/>
  <c r="E105" i="1"/>
  <c r="F105" i="1"/>
  <c r="D106" i="1"/>
  <c r="E106" i="1"/>
  <c r="F106" i="1"/>
  <c r="D107" i="1"/>
  <c r="E107" i="1"/>
  <c r="F107" i="1"/>
  <c r="E104" i="1"/>
  <c r="F104" i="1"/>
  <c r="D104" i="1"/>
  <c r="V109" i="1"/>
  <c r="T109" i="1"/>
  <c r="V108" i="1"/>
  <c r="T108" i="1"/>
  <c r="V107" i="1"/>
  <c r="T107" i="1"/>
  <c r="V106" i="1"/>
  <c r="T106" i="1"/>
  <c r="V105" i="1"/>
  <c r="T105" i="1"/>
  <c r="V104" i="1"/>
  <c r="T104" i="1"/>
  <c r="V103" i="1"/>
  <c r="T103" i="1"/>
  <c r="S15" i="1"/>
  <c r="O15" i="1"/>
  <c r="S11" i="1"/>
  <c r="K11" i="1"/>
  <c r="W7" i="1"/>
  <c r="C11" i="1"/>
  <c r="W11" i="1"/>
  <c r="C65" i="2"/>
  <c r="F65" i="2"/>
  <c r="D65" i="2"/>
  <c r="C64" i="2"/>
  <c r="F64" i="2"/>
  <c r="D64" i="2"/>
  <c r="C63" i="2"/>
  <c r="F63" i="2"/>
  <c r="D63" i="2"/>
  <c r="C62" i="2"/>
  <c r="F62" i="2"/>
  <c r="D62" i="2"/>
  <c r="C61" i="2"/>
  <c r="F61" i="2"/>
  <c r="D61" i="2"/>
  <c r="C60" i="2"/>
  <c r="F60" i="2"/>
  <c r="D60" i="2"/>
  <c r="C59" i="2"/>
  <c r="F59" i="2"/>
  <c r="D59" i="2"/>
  <c r="C58" i="2"/>
  <c r="F58" i="2"/>
  <c r="D58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L46" i="2"/>
  <c r="H46" i="2"/>
  <c r="F46" i="2"/>
  <c r="L45" i="2"/>
  <c r="H45" i="2"/>
  <c r="F45" i="2"/>
  <c r="L44" i="2"/>
  <c r="H44" i="2"/>
  <c r="F44" i="2"/>
  <c r="L43" i="2"/>
  <c r="H43" i="2"/>
  <c r="F43" i="2"/>
  <c r="L42" i="2"/>
  <c r="H42" i="2"/>
  <c r="F42" i="2"/>
  <c r="L41" i="2"/>
  <c r="H41" i="2"/>
  <c r="F41" i="2"/>
  <c r="L40" i="2"/>
  <c r="H40" i="2"/>
  <c r="F40" i="2"/>
  <c r="C40" i="2"/>
  <c r="U39" i="2"/>
  <c r="R39" i="2"/>
  <c r="Q39" i="2"/>
  <c r="P39" i="2"/>
  <c r="L39" i="2"/>
  <c r="H39" i="2"/>
  <c r="F39" i="2"/>
  <c r="C39" i="2"/>
  <c r="U38" i="2"/>
  <c r="R38" i="2"/>
  <c r="Q38" i="2"/>
  <c r="P38" i="2"/>
  <c r="L38" i="2"/>
  <c r="H38" i="2"/>
  <c r="F38" i="2"/>
  <c r="U37" i="2"/>
  <c r="R37" i="2"/>
  <c r="Q37" i="2"/>
  <c r="P37" i="2"/>
  <c r="L37" i="2"/>
  <c r="H37" i="2"/>
  <c r="F37" i="2"/>
  <c r="C37" i="2"/>
  <c r="U36" i="2"/>
  <c r="R36" i="2"/>
  <c r="Q36" i="2"/>
  <c r="P36" i="2"/>
  <c r="L36" i="2"/>
  <c r="H36" i="2"/>
  <c r="F36" i="2"/>
  <c r="C36" i="2"/>
  <c r="U35" i="2"/>
  <c r="R35" i="2"/>
  <c r="Q35" i="2"/>
  <c r="P35" i="2"/>
  <c r="L35" i="2"/>
  <c r="H35" i="2"/>
  <c r="F35" i="2"/>
  <c r="C35" i="2"/>
  <c r="U34" i="2"/>
  <c r="R34" i="2"/>
  <c r="Q34" i="2"/>
  <c r="P34" i="2"/>
  <c r="L34" i="2"/>
  <c r="H34" i="2"/>
  <c r="F34" i="2"/>
  <c r="C34" i="2"/>
  <c r="C33" i="2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2" i="3"/>
  <c r="C38" i="2"/>
  <c r="E65" i="2"/>
  <c r="E64" i="2"/>
  <c r="E63" i="2"/>
  <c r="E62" i="2"/>
  <c r="E61" i="2"/>
  <c r="E60" i="2"/>
  <c r="E59" i="2"/>
  <c r="E58" i="2"/>
  <c r="I54" i="2"/>
  <c r="G54" i="2"/>
  <c r="I53" i="2"/>
  <c r="G53" i="2"/>
  <c r="I52" i="2"/>
  <c r="G52" i="2"/>
  <c r="I51" i="2"/>
  <c r="G51" i="2"/>
  <c r="I50" i="2"/>
  <c r="G50" i="2"/>
  <c r="I49" i="2"/>
  <c r="G49" i="2"/>
  <c r="I48" i="2"/>
  <c r="G48" i="2"/>
  <c r="I47" i="2"/>
  <c r="G47" i="2"/>
  <c r="M46" i="2"/>
  <c r="I46" i="2"/>
  <c r="G46" i="2"/>
  <c r="M45" i="2"/>
  <c r="I45" i="2"/>
  <c r="G45" i="2"/>
  <c r="M44" i="2"/>
  <c r="I44" i="2"/>
  <c r="G44" i="2"/>
  <c r="M43" i="2"/>
  <c r="I43" i="2"/>
  <c r="G43" i="2"/>
  <c r="M42" i="2"/>
  <c r="I42" i="2"/>
  <c r="G42" i="2"/>
  <c r="M41" i="2"/>
  <c r="I41" i="2"/>
  <c r="G41" i="2"/>
  <c r="M40" i="2"/>
  <c r="I40" i="2"/>
  <c r="G40" i="2"/>
  <c r="M39" i="2"/>
  <c r="I39" i="2"/>
  <c r="G39" i="2"/>
  <c r="M38" i="2"/>
  <c r="I38" i="2"/>
  <c r="G38" i="2"/>
  <c r="M37" i="2"/>
  <c r="I37" i="2"/>
  <c r="G37" i="2"/>
  <c r="M36" i="2"/>
  <c r="I36" i="2"/>
  <c r="G36" i="2"/>
  <c r="M35" i="2"/>
  <c r="I35" i="2"/>
  <c r="G35" i="2"/>
  <c r="M34" i="2"/>
  <c r="I34" i="2"/>
  <c r="G34" i="2"/>
  <c r="J26" i="2"/>
  <c r="J25" i="2"/>
  <c r="J24" i="2"/>
  <c r="O23" i="2"/>
  <c r="N23" i="2"/>
  <c r="J23" i="2"/>
  <c r="O22" i="2"/>
  <c r="N22" i="2"/>
  <c r="J22" i="2"/>
  <c r="O21" i="2"/>
  <c r="N21" i="2"/>
  <c r="J21" i="2"/>
  <c r="O20" i="2"/>
  <c r="N20" i="2"/>
  <c r="O19" i="2"/>
  <c r="N19" i="2"/>
  <c r="O18" i="2"/>
  <c r="N18" i="2"/>
  <c r="F18" i="2"/>
  <c r="C5" i="2"/>
  <c r="G18" i="2"/>
  <c r="O17" i="2"/>
  <c r="N17" i="2"/>
  <c r="K17" i="2"/>
  <c r="J17" i="2"/>
  <c r="F17" i="2"/>
  <c r="G17" i="2"/>
  <c r="O16" i="2"/>
  <c r="N16" i="2"/>
  <c r="K16" i="2"/>
  <c r="J16" i="2"/>
  <c r="F16" i="2"/>
  <c r="G16" i="2"/>
  <c r="Y3" i="2"/>
  <c r="X3" i="2"/>
  <c r="W3" i="2"/>
  <c r="O15" i="2"/>
  <c r="N15" i="2"/>
  <c r="K15" i="2"/>
  <c r="J15" i="2"/>
  <c r="Y4" i="2"/>
  <c r="X4" i="2"/>
  <c r="W4" i="2"/>
  <c r="O14" i="2"/>
  <c r="N14" i="2"/>
  <c r="K14" i="2"/>
  <c r="J14" i="2"/>
  <c r="Y5" i="2"/>
  <c r="X5" i="2"/>
  <c r="W5" i="2"/>
  <c r="O13" i="2"/>
  <c r="N13" i="2"/>
  <c r="K13" i="2"/>
  <c r="J13" i="2"/>
  <c r="C13" i="2"/>
  <c r="Y6" i="2"/>
  <c r="X6" i="2"/>
  <c r="W6" i="2"/>
  <c r="O12" i="2"/>
  <c r="N12" i="2"/>
  <c r="K12" i="2"/>
  <c r="J12" i="2"/>
  <c r="F12" i="2"/>
  <c r="G12" i="2"/>
  <c r="C12" i="2"/>
  <c r="Y7" i="2"/>
  <c r="X7" i="2"/>
  <c r="W7" i="2"/>
  <c r="O11" i="2"/>
  <c r="N11" i="2"/>
  <c r="F11" i="2"/>
  <c r="G11" i="2"/>
  <c r="C11" i="2"/>
  <c r="Y8" i="2"/>
  <c r="X8" i="2"/>
  <c r="W8" i="2"/>
  <c r="T3" i="2"/>
  <c r="S3" i="2"/>
  <c r="R3" i="2"/>
  <c r="O10" i="2"/>
  <c r="N10" i="2"/>
  <c r="F10" i="2"/>
  <c r="G10" i="2"/>
  <c r="C10" i="2"/>
  <c r="Y9" i="2"/>
  <c r="X9" i="2"/>
  <c r="W9" i="2"/>
  <c r="T4" i="2"/>
  <c r="S4" i="2"/>
  <c r="R4" i="2"/>
  <c r="O9" i="2"/>
  <c r="N9" i="2"/>
  <c r="C9" i="2"/>
  <c r="Y10" i="2"/>
  <c r="X10" i="2"/>
  <c r="W10" i="2"/>
  <c r="T5" i="2"/>
  <c r="S5" i="2"/>
  <c r="R5" i="2"/>
  <c r="O8" i="2"/>
  <c r="N8" i="2"/>
  <c r="J8" i="2"/>
  <c r="C7" i="2"/>
  <c r="C6" i="2"/>
  <c r="C8" i="2"/>
  <c r="Y11" i="2"/>
  <c r="X11" i="2"/>
  <c r="W11" i="2"/>
  <c r="T6" i="2"/>
  <c r="S6" i="2"/>
  <c r="R6" i="2"/>
  <c r="O7" i="2"/>
  <c r="N7" i="2"/>
  <c r="J7" i="2"/>
  <c r="Y12" i="2"/>
  <c r="X12" i="2"/>
  <c r="W12" i="2"/>
  <c r="T7" i="2"/>
  <c r="S7" i="2"/>
  <c r="R7" i="2"/>
  <c r="O6" i="2"/>
  <c r="N6" i="2"/>
  <c r="J6" i="2"/>
  <c r="F6" i="2"/>
  <c r="C4" i="2"/>
  <c r="G6" i="2"/>
  <c r="Y13" i="2"/>
  <c r="X13" i="2"/>
  <c r="W13" i="2"/>
  <c r="T8" i="2"/>
  <c r="S8" i="2"/>
  <c r="R8" i="2"/>
  <c r="O5" i="2"/>
  <c r="N5" i="2"/>
  <c r="J5" i="2"/>
  <c r="F5" i="2"/>
  <c r="G5" i="2"/>
  <c r="Y14" i="2"/>
  <c r="X14" i="2"/>
  <c r="W14" i="2"/>
  <c r="T9" i="2"/>
  <c r="S9" i="2"/>
  <c r="R9" i="2"/>
  <c r="O4" i="2"/>
  <c r="N4" i="2"/>
  <c r="J4" i="2"/>
  <c r="F4" i="2"/>
  <c r="G4" i="2"/>
  <c r="Y15" i="2"/>
  <c r="X15" i="2"/>
  <c r="W15" i="2"/>
  <c r="T10" i="2"/>
  <c r="S10" i="2"/>
  <c r="R10" i="2"/>
  <c r="O3" i="2"/>
  <c r="N3" i="2"/>
  <c r="J3" i="2"/>
  <c r="F3" i="2"/>
  <c r="G3" i="2"/>
  <c r="O11" i="1"/>
  <c r="S7" i="1"/>
  <c r="G11" i="1"/>
  <c r="G15" i="1"/>
  <c r="K15" i="1"/>
  <c r="G7" i="1"/>
  <c r="C7" i="1"/>
</calcChain>
</file>

<file path=xl/sharedStrings.xml><?xml version="1.0" encoding="utf-8"?>
<sst xmlns="http://schemas.openxmlformats.org/spreadsheetml/2006/main" count="3624" uniqueCount="692">
  <si>
    <t>TOTAL PROJECTS</t>
  </si>
  <si>
    <t>TOTAL TASKS</t>
  </si>
  <si>
    <t>TOTAL BUDGET</t>
  </si>
  <si>
    <t>ACTUAL SPEND</t>
  </si>
  <si>
    <t>work items tracked</t>
  </si>
  <si>
    <t>allocated funds</t>
  </si>
  <si>
    <t>committed to date</t>
  </si>
  <si>
    <t>BUDGET UTILIZATION</t>
  </si>
  <si>
    <t>AVG PROGRESS</t>
  </si>
  <si>
    <t>OVER-BUDGET TASKS</t>
  </si>
  <si>
    <t>HOURS LOGGED</t>
  </si>
  <si>
    <t>spend vs budget</t>
  </si>
  <si>
    <t>mean task completion</t>
  </si>
  <si>
    <t>cost-control watchlist</t>
  </si>
  <si>
    <t>PERFORMANCE  OVERVIEW</t>
  </si>
  <si>
    <t>KEY  INSIGHTS</t>
  </si>
  <si>
    <t>Project Status</t>
  </si>
  <si>
    <t>Projects</t>
  </si>
  <si>
    <t>% Share</t>
  </si>
  <si>
    <t>Project Type</t>
  </si>
  <si>
    <t>Month</t>
  </si>
  <si>
    <t>Actual Cost</t>
  </si>
  <si>
    <t>Budget</t>
  </si>
  <si>
    <t>Team Member</t>
  </si>
  <si>
    <t>Tasks</t>
  </si>
  <si>
    <t>Hours</t>
  </si>
  <si>
    <t>Budget Owned</t>
  </si>
  <si>
    <t>Location</t>
  </si>
  <si>
    <t>Metric</t>
  </si>
  <si>
    <t>Value</t>
  </si>
  <si>
    <t>Completed</t>
  </si>
  <si>
    <t>Renovation</t>
  </si>
  <si>
    <t>Feb-24</t>
  </si>
  <si>
    <t>Charlie</t>
  </si>
  <si>
    <t>Virginia</t>
  </si>
  <si>
    <t>Total Projects</t>
  </si>
  <si>
    <t>On Track</t>
  </si>
  <si>
    <t>Innovation</t>
  </si>
  <si>
    <t>Mar-24</t>
  </si>
  <si>
    <t>Alice</t>
  </si>
  <si>
    <t>Michigan</t>
  </si>
  <si>
    <t>Total Tasks</t>
  </si>
  <si>
    <t>Behind</t>
  </si>
  <si>
    <t>Construction</t>
  </si>
  <si>
    <t>Apr-24</t>
  </si>
  <si>
    <t>Eve</t>
  </si>
  <si>
    <t>Pennsylvania</t>
  </si>
  <si>
    <t>Total Budget</t>
  </si>
  <si>
    <t>On Hold</t>
  </si>
  <si>
    <t>Infrastructure</t>
  </si>
  <si>
    <t>May-24</t>
  </si>
  <si>
    <t>Grace</t>
  </si>
  <si>
    <t>Illinois</t>
  </si>
  <si>
    <t>Actual Cost (Spent)</t>
  </si>
  <si>
    <t>Maintenance</t>
  </si>
  <si>
    <t>Jun-24</t>
  </si>
  <si>
    <t>Ivy</t>
  </si>
  <si>
    <t>Texas</t>
  </si>
  <si>
    <t>Budget Utilization</t>
  </si>
  <si>
    <t>Other</t>
  </si>
  <si>
    <t>Jul-24</t>
  </si>
  <si>
    <t>Bob</t>
  </si>
  <si>
    <t>Ohio</t>
  </si>
  <si>
    <t>Avg Task Progress</t>
  </si>
  <si>
    <t>Task Status</t>
  </si>
  <si>
    <t>Aug-24</t>
  </si>
  <si>
    <t>David</t>
  </si>
  <si>
    <t>Georgia</t>
  </si>
  <si>
    <t>Total Hours Logged</t>
  </si>
  <si>
    <t>Sep-24</t>
  </si>
  <si>
    <t>Frank</t>
  </si>
  <si>
    <t>New York</t>
  </si>
  <si>
    <t>Over-Budget Tasks</t>
  </si>
  <si>
    <t>In Progress</t>
  </si>
  <si>
    <t>Oct-24</t>
  </si>
  <si>
    <t>New Jersey</t>
  </si>
  <si>
    <t>Completed Tasks</t>
  </si>
  <si>
    <t>Pending</t>
  </si>
  <si>
    <t>Nov-24</t>
  </si>
  <si>
    <t>California</t>
  </si>
  <si>
    <t>Completed Projects</t>
  </si>
  <si>
    <t>Dec-24</t>
  </si>
  <si>
    <t>North Carolina</t>
  </si>
  <si>
    <t>Jan-25</t>
  </si>
  <si>
    <t>Washington</t>
  </si>
  <si>
    <t>Priority</t>
  </si>
  <si>
    <t>Feb-25</t>
  </si>
  <si>
    <t>Florida</t>
  </si>
  <si>
    <t>High</t>
  </si>
  <si>
    <t>Mar-25</t>
  </si>
  <si>
    <t>Medium</t>
  </si>
  <si>
    <t>Apr-25</t>
  </si>
  <si>
    <t>Low</t>
  </si>
  <si>
    <t>May-25</t>
  </si>
  <si>
    <t>Jun-25</t>
  </si>
  <si>
    <t>Avg Progress</t>
  </si>
  <si>
    <t>Jul-25</t>
  </si>
  <si>
    <t>Aug-25</t>
  </si>
  <si>
    <t>Sep-25</t>
  </si>
  <si>
    <t>Oct-25</t>
  </si>
  <si>
    <t>Project ID</t>
  </si>
  <si>
    <t>Project Name</t>
  </si>
  <si>
    <t>Start Date</t>
  </si>
  <si>
    <t>End Date</t>
  </si>
  <si>
    <t>Month Name</t>
  </si>
  <si>
    <t>Task ID</t>
  </si>
  <si>
    <t>Task Name</t>
  </si>
  <si>
    <t>Assigned To</t>
  </si>
  <si>
    <t>Hours Spent</t>
  </si>
  <si>
    <t>Progress</t>
  </si>
  <si>
    <t>P001</t>
  </si>
  <si>
    <t>Renovation of a School Project 001</t>
  </si>
  <si>
    <t>T001</t>
  </si>
  <si>
    <t>Task 001 of Renovation of a School Project 001</t>
  </si>
  <si>
    <t>T002</t>
  </si>
  <si>
    <t>Task 002 of Renovation of a School Project 001</t>
  </si>
  <si>
    <t>T003</t>
  </si>
  <si>
    <t>Task 003 of Renovation of a School Project 001</t>
  </si>
  <si>
    <t>P002</t>
  </si>
  <si>
    <t>Innovation of a Classroom Project 002</t>
  </si>
  <si>
    <t>Task 001 of Innovation of a Classroom Project 002</t>
  </si>
  <si>
    <t>Task 002 of Innovation of a Classroom Project 002</t>
  </si>
  <si>
    <t>Task 003 of Innovation of a Classroom Project 002</t>
  </si>
  <si>
    <t>P003</t>
  </si>
  <si>
    <t>Construction of a Hospital Wing Project 003</t>
  </si>
  <si>
    <t>Task 001 of Construction of a Hospital Wing Project 003</t>
  </si>
  <si>
    <t>Task 002 of Construction of a Hospital Wing Project 003</t>
  </si>
  <si>
    <t>Task 003 of Construction of a Hospital Wing Project 003</t>
  </si>
  <si>
    <t>P004</t>
  </si>
  <si>
    <t>Road Expansion Project 004</t>
  </si>
  <si>
    <t>Task 001 of Road Expansion Project 004</t>
  </si>
  <si>
    <t>Task 002 of Road Expansion Project 004</t>
  </si>
  <si>
    <t>Task 003 of Road Expansion Project 004</t>
  </si>
  <si>
    <t>P005</t>
  </si>
  <si>
    <t>Bridge Maintenance Project 005</t>
  </si>
  <si>
    <t>Task 001 of Bridge Maintenance Project 005</t>
  </si>
  <si>
    <t>Task 002 of Bridge Maintenance Project 005</t>
  </si>
  <si>
    <t>Task 003 of Bridge Maintenance Project 005</t>
  </si>
  <si>
    <t>P006</t>
  </si>
  <si>
    <t>Office Building Renovation Project 006</t>
  </si>
  <si>
    <t>Task 001 of Office Building Renovation Project 006</t>
  </si>
  <si>
    <t>Task 002 of Office Building Renovation Project 006</t>
  </si>
  <si>
    <t>Task 003 of Office Building Renovation Project 006</t>
  </si>
  <si>
    <t>P007</t>
  </si>
  <si>
    <t>Apartment Complex Development Project 007</t>
  </si>
  <si>
    <t>Task 001 of Apartment Complex Development Project 007</t>
  </si>
  <si>
    <t>Task 002 of Apartment Complex Development Project 007</t>
  </si>
  <si>
    <t>Task 003 of Apartment Complex Development Project 007</t>
  </si>
  <si>
    <t>P008</t>
  </si>
  <si>
    <t>Commercial Center Construction Project 008</t>
  </si>
  <si>
    <t>Task 001 of Commercial Center Construction Project 008</t>
  </si>
  <si>
    <t>Task 002 of Commercial Center Construction Project 008</t>
  </si>
  <si>
    <t>Task 003 of Commercial Center Construction Project 008</t>
  </si>
  <si>
    <t>P009</t>
  </si>
  <si>
    <t>Highway Reconstruction Project 009</t>
  </si>
  <si>
    <t>Task 001 of Highway Reconstruction Project 009</t>
  </si>
  <si>
    <t>Task 002 of Highway Reconstruction Project 009</t>
  </si>
  <si>
    <t>Task 003 of Highway Reconstruction Project 009</t>
  </si>
  <si>
    <t>P010</t>
  </si>
  <si>
    <t>Airport Expansion Project 010</t>
  </si>
  <si>
    <t>Task 001 of Airport Expansion Project 010</t>
  </si>
  <si>
    <t>Task 002 of Airport Expansion Project 010</t>
  </si>
  <si>
    <t>Task 003 of Airport Expansion Project 010</t>
  </si>
  <si>
    <t>P011</t>
  </si>
  <si>
    <t>Shopping Mall Renovation Project 011</t>
  </si>
  <si>
    <t>Task 001 of Shopping Mall Renovation Project 011</t>
  </si>
  <si>
    <t>Task 002 of Shopping Mall Renovation Project 011</t>
  </si>
  <si>
    <t>Task 003 of Shopping Mall Renovation Project 011</t>
  </si>
  <si>
    <t>P012</t>
  </si>
  <si>
    <t>University Dormitory Construction Project 012</t>
  </si>
  <si>
    <t>Task 001 of University Dormitory Construction Project 012</t>
  </si>
  <si>
    <t>Task 002 of University Dormitory Construction Project 012</t>
  </si>
  <si>
    <t>Task 003 of University Dormitory Construction Project 012</t>
  </si>
  <si>
    <t>P013</t>
  </si>
  <si>
    <t>Sports Stadium Upgrade Project 013</t>
  </si>
  <si>
    <t>Task 001 of Sports Stadium Upgrade Project 013</t>
  </si>
  <si>
    <t>Task 002 of Sports Stadium Upgrade Project 013</t>
  </si>
  <si>
    <t>Task 003 of Sports Stadium Upgrade Project 013</t>
  </si>
  <si>
    <t>P014</t>
  </si>
  <si>
    <t>Public Library Renovation Project 014</t>
  </si>
  <si>
    <t>Task 001 of Public Library Renovation Project 014</t>
  </si>
  <si>
    <t>Task 002 of Public Library Renovation Project 014</t>
  </si>
  <si>
    <t>Task 003 of Public Library Renovation Project 014</t>
  </si>
  <si>
    <t>P015</t>
  </si>
  <si>
    <t>Building a Park Project 015</t>
  </si>
  <si>
    <t>Task 001 of Building a Park Project 015</t>
  </si>
  <si>
    <t>Task 002 of Building a Park Project 015</t>
  </si>
  <si>
    <t>Task 003 of Building a Park Project 015</t>
  </si>
  <si>
    <t>P016</t>
  </si>
  <si>
    <t>Renovation of a School Project 016</t>
  </si>
  <si>
    <t>Task 001 of Renovation of a School Project 016</t>
  </si>
  <si>
    <t>Task 002 of Renovation of a School Project 016</t>
  </si>
  <si>
    <t>Task 003 of Renovation of a School Project 016</t>
  </si>
  <si>
    <t>P017</t>
  </si>
  <si>
    <t>Innovation of a Classroom Project 017</t>
  </si>
  <si>
    <t>Task 001 of Innovation of a Classroom Project 017</t>
  </si>
  <si>
    <t>Task 002 of Innovation of a Classroom Project 017</t>
  </si>
  <si>
    <t>Task 003 of Innovation of a Classroom Project 017</t>
  </si>
  <si>
    <t>P018</t>
  </si>
  <si>
    <t>Construction of a Hospital Wing Project 018</t>
  </si>
  <si>
    <t>Task 001 of Construction of a Hospital Wing Project 018</t>
  </si>
  <si>
    <t>Task 002 of Construction of a Hospital Wing Project 018</t>
  </si>
  <si>
    <t>Task 003 of Construction of a Hospital Wing Project 018</t>
  </si>
  <si>
    <t>P019</t>
  </si>
  <si>
    <t>Road Expansion Project 019</t>
  </si>
  <si>
    <t>Task 001 of Road Expansion Project 019</t>
  </si>
  <si>
    <t>Task 002 of Road Expansion Project 019</t>
  </si>
  <si>
    <t>Task 003 of Road Expansion Project 019</t>
  </si>
  <si>
    <t>P020</t>
  </si>
  <si>
    <t>Bridge Maintenance Project 020</t>
  </si>
  <si>
    <t>Task 001 of Bridge Maintenance Project 020</t>
  </si>
  <si>
    <t>Task 002 of Bridge Maintenance Project 020</t>
  </si>
  <si>
    <t>Task 003 of Bridge Maintenance Project 020</t>
  </si>
  <si>
    <t>P021</t>
  </si>
  <si>
    <t>Office Building Renovation Project 021</t>
  </si>
  <si>
    <t>Task 001 of Office Building Renovation Project 021</t>
  </si>
  <si>
    <t>Task 002 of Office Building Renovation Project 021</t>
  </si>
  <si>
    <t>Task 003 of Office Building Renovation Project 021</t>
  </si>
  <si>
    <t>P022</t>
  </si>
  <si>
    <t>Apartment Complex Development Project 022</t>
  </si>
  <si>
    <t>Task 001 of Apartment Complex Development Project 022</t>
  </si>
  <si>
    <t>Task 002 of Apartment Complex Development Project 022</t>
  </si>
  <si>
    <t>Task 003 of Apartment Complex Development Project 022</t>
  </si>
  <si>
    <t>P023</t>
  </si>
  <si>
    <t>Commercial Center Construction Project 023</t>
  </si>
  <si>
    <t>Task 001 of Commercial Center Construction Project 023</t>
  </si>
  <si>
    <t>Task 002 of Commercial Center Construction Project 023</t>
  </si>
  <si>
    <t>Task 003 of Commercial Center Construction Project 023</t>
  </si>
  <si>
    <t>P024</t>
  </si>
  <si>
    <t>Highway Reconstruction Project 024</t>
  </si>
  <si>
    <t>Task 001 of Highway Reconstruction Project 024</t>
  </si>
  <si>
    <t>Task 002 of Highway Reconstruction Project 024</t>
  </si>
  <si>
    <t>Task 003 of Highway Reconstruction Project 024</t>
  </si>
  <si>
    <t>P025</t>
  </si>
  <si>
    <t>Airport Expansion Project 025</t>
  </si>
  <si>
    <t>Task 001 of Airport Expansion Project 025</t>
  </si>
  <si>
    <t>Task 002 of Airport Expansion Project 025</t>
  </si>
  <si>
    <t>Task 003 of Airport Expansion Project 025</t>
  </si>
  <si>
    <t>P026</t>
  </si>
  <si>
    <t>Shopping Mall Renovation Project 026</t>
  </si>
  <si>
    <t>Task 001 of Shopping Mall Renovation Project 026</t>
  </si>
  <si>
    <t>Task 002 of Shopping Mall Renovation Project 026</t>
  </si>
  <si>
    <t>Task 003 of Shopping Mall Renovation Project 026</t>
  </si>
  <si>
    <t>P027</t>
  </si>
  <si>
    <t>University Dormitory Construction Project 027</t>
  </si>
  <si>
    <t>Task 001 of University Dormitory Construction Project 027</t>
  </si>
  <si>
    <t>Task 002 of University Dormitory Construction Project 027</t>
  </si>
  <si>
    <t>Task 003 of University Dormitory Construction Project 027</t>
  </si>
  <si>
    <t>P028</t>
  </si>
  <si>
    <t>Sports Stadium Upgrade Project 028</t>
  </si>
  <si>
    <t>Task 001 of Sports Stadium Upgrade Project 028</t>
  </si>
  <si>
    <t>Task 002 of Sports Stadium Upgrade Project 028</t>
  </si>
  <si>
    <t>Task 003 of Sports Stadium Upgrade Project 028</t>
  </si>
  <si>
    <t>P029</t>
  </si>
  <si>
    <t>Public Library Renovation Project 029</t>
  </si>
  <si>
    <t>Task 001 of Public Library Renovation Project 029</t>
  </si>
  <si>
    <t>Task 002 of Public Library Renovation Project 029</t>
  </si>
  <si>
    <t>Task 003 of Public Library Renovation Project 029</t>
  </si>
  <si>
    <t>P030</t>
  </si>
  <si>
    <t>Building a Park Project 030</t>
  </si>
  <si>
    <t>Task 001 of Building a Park Project 030</t>
  </si>
  <si>
    <t>Task 002 of Building a Park Project 030</t>
  </si>
  <si>
    <t>Task 003 of Building a Park Project 030</t>
  </si>
  <si>
    <t>P031</t>
  </si>
  <si>
    <t>Renovation of a School Project 031</t>
  </si>
  <si>
    <t>Task 001 of Renovation of a School Project 031</t>
  </si>
  <si>
    <t>Task 002 of Renovation of a School Project 031</t>
  </si>
  <si>
    <t>Task 003 of Renovation of a School Project 031</t>
  </si>
  <si>
    <t>P032</t>
  </si>
  <si>
    <t>Innovation of a Classroom Project 032</t>
  </si>
  <si>
    <t>Task 001 of Innovation of a Classroom Project 032</t>
  </si>
  <si>
    <t>Task 002 of Innovation of a Classroom Project 032</t>
  </si>
  <si>
    <t>Task 003 of Innovation of a Classroom Project 032</t>
  </si>
  <si>
    <t>P033</t>
  </si>
  <si>
    <t>Construction of a Hospital Wing Project 033</t>
  </si>
  <si>
    <t>Task 001 of Construction of a Hospital Wing Project 033</t>
  </si>
  <si>
    <t>Task 002 of Construction of a Hospital Wing Project 033</t>
  </si>
  <si>
    <t>Task 003 of Construction of a Hospital Wing Project 033</t>
  </si>
  <si>
    <t>P034</t>
  </si>
  <si>
    <t>Road Expansion Project 034</t>
  </si>
  <si>
    <t>Task 001 of Road Expansion Project 034</t>
  </si>
  <si>
    <t>Task 002 of Road Expansion Project 034</t>
  </si>
  <si>
    <t>Task 003 of Road Expansion Project 034</t>
  </si>
  <si>
    <t>P035</t>
  </si>
  <si>
    <t>Bridge Maintenance Project 035</t>
  </si>
  <si>
    <t>Task 001 of Bridge Maintenance Project 035</t>
  </si>
  <si>
    <t>Task 002 of Bridge Maintenance Project 035</t>
  </si>
  <si>
    <t>Task 003 of Bridge Maintenance Project 035</t>
  </si>
  <si>
    <t>P036</t>
  </si>
  <si>
    <t>Office Building Renovation Project 036</t>
  </si>
  <si>
    <t>Task 001 of Office Building Renovation Project 036</t>
  </si>
  <si>
    <t>Task 002 of Office Building Renovation Project 036</t>
  </si>
  <si>
    <t>Task 003 of Office Building Renovation Project 036</t>
  </si>
  <si>
    <t>P037</t>
  </si>
  <si>
    <t>Apartment Complex Development Project 037</t>
  </si>
  <si>
    <t>Task 001 of Apartment Complex Development Project 037</t>
  </si>
  <si>
    <t>Task 002 of Apartment Complex Development Project 037</t>
  </si>
  <si>
    <t>Task 003 of Apartment Complex Development Project 037</t>
  </si>
  <si>
    <t>P038</t>
  </si>
  <si>
    <t>Commercial Center Construction Project 038</t>
  </si>
  <si>
    <t>Task 001 of Commercial Center Construction Project 038</t>
  </si>
  <si>
    <t>Task 002 of Commercial Center Construction Project 038</t>
  </si>
  <si>
    <t>Task 003 of Commercial Center Construction Project 038</t>
  </si>
  <si>
    <t>P039</t>
  </si>
  <si>
    <t>Highway Reconstruction Project 039</t>
  </si>
  <si>
    <t>Task 001 of Highway Reconstruction Project 039</t>
  </si>
  <si>
    <t>Task 002 of Highway Reconstruction Project 039</t>
  </si>
  <si>
    <t>Task 003 of Highway Reconstruction Project 039</t>
  </si>
  <si>
    <t>P040</t>
  </si>
  <si>
    <t>Airport Expansion Project 040</t>
  </si>
  <si>
    <t>Task 001 of Airport Expansion Project 040</t>
  </si>
  <si>
    <t>Task 002 of Airport Expansion Project 040</t>
  </si>
  <si>
    <t>Task 003 of Airport Expansion Project 040</t>
  </si>
  <si>
    <t>P041</t>
  </si>
  <si>
    <t>Shopping Mall Renovation Project 041</t>
  </si>
  <si>
    <t>Task 001 of Shopping Mall Renovation Project 041</t>
  </si>
  <si>
    <t>Task 002 of Shopping Mall Renovation Project 041</t>
  </si>
  <si>
    <t>Task 003 of Shopping Mall Renovation Project 041</t>
  </si>
  <si>
    <t>P042</t>
  </si>
  <si>
    <t>University Dormitory Construction Project 042</t>
  </si>
  <si>
    <t>Task 001 of University Dormitory Construction Project 042</t>
  </si>
  <si>
    <t>Task 002 of University Dormitory Construction Project 042</t>
  </si>
  <si>
    <t>Task 003 of University Dormitory Construction Project 042</t>
  </si>
  <si>
    <t>P043</t>
  </si>
  <si>
    <t>Sports Stadium Upgrade Project 043</t>
  </si>
  <si>
    <t>Task 001 of Sports Stadium Upgrade Project 043</t>
  </si>
  <si>
    <t>Task 002 of Sports Stadium Upgrade Project 043</t>
  </si>
  <si>
    <t>Task 003 of Sports Stadium Upgrade Project 043</t>
  </si>
  <si>
    <t>P044</t>
  </si>
  <si>
    <t>Public Library Renovation Project 044</t>
  </si>
  <si>
    <t>Task 001 of Public Library Renovation Project 044</t>
  </si>
  <si>
    <t>Task 002 of Public Library Renovation Project 044</t>
  </si>
  <si>
    <t>Task 003 of Public Library Renovation Project 044</t>
  </si>
  <si>
    <t>P045</t>
  </si>
  <si>
    <t>Building a Park Project 045</t>
  </si>
  <si>
    <t>Task 001 of Building a Park Project 045</t>
  </si>
  <si>
    <t>Task 002 of Building a Park Project 045</t>
  </si>
  <si>
    <t>Task 003 of Building a Park Project 045</t>
  </si>
  <si>
    <t>P046</t>
  </si>
  <si>
    <t>Renovation of a School Project 046</t>
  </si>
  <si>
    <t>Task 001 of Renovation of a School Project 046</t>
  </si>
  <si>
    <t>Task 002 of Renovation of a School Project 046</t>
  </si>
  <si>
    <t>Task 003 of Renovation of a School Project 046</t>
  </si>
  <si>
    <t>P047</t>
  </si>
  <si>
    <t>Innovation of a Classroom Project 047</t>
  </si>
  <si>
    <t>Task 001 of Innovation of a Classroom Project 047</t>
  </si>
  <si>
    <t>Task 002 of Innovation of a Classroom Project 047</t>
  </si>
  <si>
    <t>Task 003 of Innovation of a Classroom Project 047</t>
  </si>
  <si>
    <t>P048</t>
  </si>
  <si>
    <t>Construction of a Hospital Wing Project 048</t>
  </si>
  <si>
    <t>Task 001 of Construction of a Hospital Wing Project 048</t>
  </si>
  <si>
    <t>Task 002 of Construction of a Hospital Wing Project 048</t>
  </si>
  <si>
    <t>Task 003 of Construction of a Hospital Wing Project 048</t>
  </si>
  <si>
    <t>P049</t>
  </si>
  <si>
    <t>Road Expansion Project 049</t>
  </si>
  <si>
    <t>Task 001 of Road Expansion Project 049</t>
  </si>
  <si>
    <t>Task 002 of Road Expansion Project 049</t>
  </si>
  <si>
    <t>Task 003 of Road Expansion Project 049</t>
  </si>
  <si>
    <t>P050</t>
  </si>
  <si>
    <t>Bridge Maintenance Project 050</t>
  </si>
  <si>
    <t>Task 001 of Bridge Maintenance Project 050</t>
  </si>
  <si>
    <t>Task 002 of Bridge Maintenance Project 050</t>
  </si>
  <si>
    <t>Task 003 of Bridge Maintenance Project 050</t>
  </si>
  <si>
    <t>P051</t>
  </si>
  <si>
    <t>Office Building Renovation Project 051</t>
  </si>
  <si>
    <t>Task 001 of Office Building Renovation Project 051</t>
  </si>
  <si>
    <t>Task 002 of Office Building Renovation Project 051</t>
  </si>
  <si>
    <t>Task 003 of Office Building Renovation Project 051</t>
  </si>
  <si>
    <t>P052</t>
  </si>
  <si>
    <t>Apartment Complex Development Project 052</t>
  </si>
  <si>
    <t>Task 001 of Apartment Complex Development Project 052</t>
  </si>
  <si>
    <t>Task 002 of Apartment Complex Development Project 052</t>
  </si>
  <si>
    <t>Task 003 of Apartment Complex Development Project 052</t>
  </si>
  <si>
    <t>P053</t>
  </si>
  <si>
    <t>Commercial Center Construction Project 053</t>
  </si>
  <si>
    <t>Task 001 of Commercial Center Construction Project 053</t>
  </si>
  <si>
    <t>Task 002 of Commercial Center Construction Project 053</t>
  </si>
  <si>
    <t>Task 003 of Commercial Center Construction Project 053</t>
  </si>
  <si>
    <t>P054</t>
  </si>
  <si>
    <t>Highway Reconstruction Project 054</t>
  </si>
  <si>
    <t>Task 001 of Highway Reconstruction Project 054</t>
  </si>
  <si>
    <t>Task 002 of Highway Reconstruction Project 054</t>
  </si>
  <si>
    <t>Task 003 of Highway Reconstruction Project 054</t>
  </si>
  <si>
    <t>P055</t>
  </si>
  <si>
    <t>Airport Expansion Project 055</t>
  </si>
  <si>
    <t>Task 001 of Airport Expansion Project 055</t>
  </si>
  <si>
    <t>Task 002 of Airport Expansion Project 055</t>
  </si>
  <si>
    <t>Task 003 of Airport Expansion Project 055</t>
  </si>
  <si>
    <t>P056</t>
  </si>
  <si>
    <t>Shopping Mall Renovation Project 056</t>
  </si>
  <si>
    <t>Task 001 of Shopping Mall Renovation Project 056</t>
  </si>
  <si>
    <t>Task 002 of Shopping Mall Renovation Project 056</t>
  </si>
  <si>
    <t>Task 003 of Shopping Mall Renovation Project 056</t>
  </si>
  <si>
    <t>P057</t>
  </si>
  <si>
    <t>University Dormitory Construction Project 057</t>
  </si>
  <si>
    <t>Task 001 of University Dormitory Construction Project 057</t>
  </si>
  <si>
    <t>Task 002 of University Dormitory Construction Project 057</t>
  </si>
  <si>
    <t>Task 003 of University Dormitory Construction Project 057</t>
  </si>
  <si>
    <t>P058</t>
  </si>
  <si>
    <t>Sports Stadium Upgrade Project 058</t>
  </si>
  <si>
    <t>Task 001 of Sports Stadium Upgrade Project 058</t>
  </si>
  <si>
    <t>Task 002 of Sports Stadium Upgrade Project 058</t>
  </si>
  <si>
    <t>Task 003 of Sports Stadium Upgrade Project 058</t>
  </si>
  <si>
    <t>P059</t>
  </si>
  <si>
    <t>Public Library Renovation Project 059</t>
  </si>
  <si>
    <t>Task 001 of Public Library Renovation Project 059</t>
  </si>
  <si>
    <t>Task 002 of Public Library Renovation Project 059</t>
  </si>
  <si>
    <t>Task 003 of Public Library Renovation Project 059</t>
  </si>
  <si>
    <t>P060</t>
  </si>
  <si>
    <t>Building a Park Project 060</t>
  </si>
  <si>
    <t>Task 001 of Building a Park Project 060</t>
  </si>
  <si>
    <t>Task 002 of Building a Park Project 060</t>
  </si>
  <si>
    <t>Task 003 of Building a Park Project 060</t>
  </si>
  <si>
    <t>P061</t>
  </si>
  <si>
    <t>Renovation of a School Project 061</t>
  </si>
  <si>
    <t>Task 001 of Renovation of a School Project 061</t>
  </si>
  <si>
    <t>Task 002 of Renovation of a School Project 061</t>
  </si>
  <si>
    <t>Task 003 of Renovation of a School Project 061</t>
  </si>
  <si>
    <t>P062</t>
  </si>
  <si>
    <t>Innovation of a Classroom Project 062</t>
  </si>
  <si>
    <t>Task 001 of Innovation of a Classroom Project 062</t>
  </si>
  <si>
    <t>Task 002 of Innovation of a Classroom Project 062</t>
  </si>
  <si>
    <t>Task 003 of Innovation of a Classroom Project 062</t>
  </si>
  <si>
    <t>P063</t>
  </si>
  <si>
    <t>Construction of a Hospital Wing Project 063</t>
  </si>
  <si>
    <t>Task 001 of Construction of a Hospital Wing Project 063</t>
  </si>
  <si>
    <t>Task 002 of Construction of a Hospital Wing Project 063</t>
  </si>
  <si>
    <t>Task 003 of Construction of a Hospital Wing Project 063</t>
  </si>
  <si>
    <t>P064</t>
  </si>
  <si>
    <t>Road Expansion Project 064</t>
  </si>
  <si>
    <t>Task 001 of Road Expansion Project 064</t>
  </si>
  <si>
    <t>Task 002 of Road Expansion Project 064</t>
  </si>
  <si>
    <t>Task 003 of Road Expansion Project 064</t>
  </si>
  <si>
    <t>P065</t>
  </si>
  <si>
    <t>Bridge Maintenance Project 065</t>
  </si>
  <si>
    <t>Task 001 of Bridge Maintenance Project 065</t>
  </si>
  <si>
    <t>Task 002 of Bridge Maintenance Project 065</t>
  </si>
  <si>
    <t>Task 003 of Bridge Maintenance Project 065</t>
  </si>
  <si>
    <t>P066</t>
  </si>
  <si>
    <t>Office Building Renovation Project 066</t>
  </si>
  <si>
    <t>Task 001 of Office Building Renovation Project 066</t>
  </si>
  <si>
    <t>Task 002 of Office Building Renovation Project 066</t>
  </si>
  <si>
    <t>Task 003 of Office Building Renovation Project 066</t>
  </si>
  <si>
    <t>P067</t>
  </si>
  <si>
    <t>Apartment Complex Development Project 067</t>
  </si>
  <si>
    <t>Task 001 of Apartment Complex Development Project 067</t>
  </si>
  <si>
    <t>Task 002 of Apartment Complex Development Project 067</t>
  </si>
  <si>
    <t>Task 003 of Apartment Complex Development Project 067</t>
  </si>
  <si>
    <t>P068</t>
  </si>
  <si>
    <t>Commercial Center Construction Project 068</t>
  </si>
  <si>
    <t>Task 001 of Commercial Center Construction Project 068</t>
  </si>
  <si>
    <t>Task 002 of Commercial Center Construction Project 068</t>
  </si>
  <si>
    <t>Task 003 of Commercial Center Construction Project 068</t>
  </si>
  <si>
    <t>P069</t>
  </si>
  <si>
    <t>Highway Reconstruction Project 069</t>
  </si>
  <si>
    <t>Task 001 of Highway Reconstruction Project 069</t>
  </si>
  <si>
    <t>Task 002 of Highway Reconstruction Project 069</t>
  </si>
  <si>
    <t>Task 003 of Highway Reconstruction Project 069</t>
  </si>
  <si>
    <t>P070</t>
  </si>
  <si>
    <t>Airport Expansion Project 070</t>
  </si>
  <si>
    <t>Task 001 of Airport Expansion Project 070</t>
  </si>
  <si>
    <t>Task 002 of Airport Expansion Project 070</t>
  </si>
  <si>
    <t>Task 003 of Airport Expansion Project 070</t>
  </si>
  <si>
    <t>P071</t>
  </si>
  <si>
    <t>Shopping Mall Renovation Project 071</t>
  </si>
  <si>
    <t>Task 001 of Shopping Mall Renovation Project 071</t>
  </si>
  <si>
    <t>Task 002 of Shopping Mall Renovation Project 071</t>
  </si>
  <si>
    <t>Task 003 of Shopping Mall Renovation Project 071</t>
  </si>
  <si>
    <t>P072</t>
  </si>
  <si>
    <t>University Dormitory Construction Project 072</t>
  </si>
  <si>
    <t>Task 001 of University Dormitory Construction Project 072</t>
  </si>
  <si>
    <t>Task 002 of University Dormitory Construction Project 072</t>
  </si>
  <si>
    <t>Task 003 of University Dormitory Construction Project 072</t>
  </si>
  <si>
    <t>P073</t>
  </si>
  <si>
    <t>Sports Stadium Upgrade Project 073</t>
  </si>
  <si>
    <t>Task 001 of Sports Stadium Upgrade Project 073</t>
  </si>
  <si>
    <t>Task 002 of Sports Stadium Upgrade Project 073</t>
  </si>
  <si>
    <t>Task 003 of Sports Stadium Upgrade Project 073</t>
  </si>
  <si>
    <t>P074</t>
  </si>
  <si>
    <t>Public Library Renovation Project 074</t>
  </si>
  <si>
    <t>Task 001 of Public Library Renovation Project 074</t>
  </si>
  <si>
    <t>Task 002 of Public Library Renovation Project 074</t>
  </si>
  <si>
    <t>Task 003 of Public Library Renovation Project 074</t>
  </si>
  <si>
    <t>P075</t>
  </si>
  <si>
    <t>Building a Park Project 075</t>
  </si>
  <si>
    <t>Task 001 of Building a Park Project 075</t>
  </si>
  <si>
    <t>Task 002 of Building a Park Project 075</t>
  </si>
  <si>
    <t>Task 003 of Building a Park Project 075</t>
  </si>
  <si>
    <t>P076</t>
  </si>
  <si>
    <t>Renovation of a School Project 076</t>
  </si>
  <si>
    <t>Task 001 of Renovation of a School Project 076</t>
  </si>
  <si>
    <t>Task 002 of Renovation of a School Project 076</t>
  </si>
  <si>
    <t>Task 003 of Renovation of a School Project 076</t>
  </si>
  <si>
    <t>P077</t>
  </si>
  <si>
    <t>Innovation of a Classroom Project 077</t>
  </si>
  <si>
    <t>Task 001 of Innovation of a Classroom Project 077</t>
  </si>
  <si>
    <t>Task 002 of Innovation of a Classroom Project 077</t>
  </si>
  <si>
    <t>Task 003 of Innovation of a Classroom Project 077</t>
  </si>
  <si>
    <t>P078</t>
  </si>
  <si>
    <t>Construction of a Hospital Wing Project 078</t>
  </si>
  <si>
    <t>Task 001 of Construction of a Hospital Wing Project 078</t>
  </si>
  <si>
    <t>Task 002 of Construction of a Hospital Wing Project 078</t>
  </si>
  <si>
    <t>Task 003 of Construction of a Hospital Wing Project 078</t>
  </si>
  <si>
    <t>P079</t>
  </si>
  <si>
    <t>Road Expansion Project 079</t>
  </si>
  <si>
    <t>Task 001 of Road Expansion Project 079</t>
  </si>
  <si>
    <t>Task 002 of Road Expansion Project 079</t>
  </si>
  <si>
    <t>Task 003 of Road Expansion Project 079</t>
  </si>
  <si>
    <t>P080</t>
  </si>
  <si>
    <t>Bridge Maintenance Project 080</t>
  </si>
  <si>
    <t>Task 001 of Bridge Maintenance Project 080</t>
  </si>
  <si>
    <t>Task 002 of Bridge Maintenance Project 080</t>
  </si>
  <si>
    <t>Task 003 of Bridge Maintenance Project 080</t>
  </si>
  <si>
    <t>P081</t>
  </si>
  <si>
    <t>Office Building Renovation Project 081</t>
  </si>
  <si>
    <t>Task 001 of Office Building Renovation Project 081</t>
  </si>
  <si>
    <t>Task 002 of Office Building Renovation Project 081</t>
  </si>
  <si>
    <t>Task 003 of Office Building Renovation Project 081</t>
  </si>
  <si>
    <t>P082</t>
  </si>
  <si>
    <t>Apartment Complex Development Project 082</t>
  </si>
  <si>
    <t>Task 001 of Apartment Complex Development Project 082</t>
  </si>
  <si>
    <t>Task 002 of Apartment Complex Development Project 082</t>
  </si>
  <si>
    <t>Task 003 of Apartment Complex Development Project 082</t>
  </si>
  <si>
    <t>P083</t>
  </si>
  <si>
    <t>Commercial Center Construction Project 083</t>
  </si>
  <si>
    <t>Task 001 of Commercial Center Construction Project 083</t>
  </si>
  <si>
    <t>Task 002 of Commercial Center Construction Project 083</t>
  </si>
  <si>
    <t>Task 003 of Commercial Center Construction Project 083</t>
  </si>
  <si>
    <t>P084</t>
  </si>
  <si>
    <t>Highway Reconstruction Project 084</t>
  </si>
  <si>
    <t>Task 001 of Highway Reconstruction Project 084</t>
  </si>
  <si>
    <t>Task 002 of Highway Reconstruction Project 084</t>
  </si>
  <si>
    <t>Task 003 of Highway Reconstruction Project 084</t>
  </si>
  <si>
    <t>P085</t>
  </si>
  <si>
    <t>Airport Expansion Project 085</t>
  </si>
  <si>
    <t>Task 001 of Airport Expansion Project 085</t>
  </si>
  <si>
    <t>Task 002 of Airport Expansion Project 085</t>
  </si>
  <si>
    <t>Task 003 of Airport Expansion Project 085</t>
  </si>
  <si>
    <t>P086</t>
  </si>
  <si>
    <t>Shopping Mall Renovation Project 086</t>
  </si>
  <si>
    <t>Task 001 of Shopping Mall Renovation Project 086</t>
  </si>
  <si>
    <t>Task 002 of Shopping Mall Renovation Project 086</t>
  </si>
  <si>
    <t>Task 003 of Shopping Mall Renovation Project 086</t>
  </si>
  <si>
    <t>P087</t>
  </si>
  <si>
    <t>University Dormitory Construction Project 087</t>
  </si>
  <si>
    <t>Task 001 of University Dormitory Construction Project 087</t>
  </si>
  <si>
    <t>Task 002 of University Dormitory Construction Project 087</t>
  </si>
  <si>
    <t>Task 003 of University Dormitory Construction Project 087</t>
  </si>
  <si>
    <t>P088</t>
  </si>
  <si>
    <t>Sports Stadium Upgrade Project 088</t>
  </si>
  <si>
    <t>Task 001 of Sports Stadium Upgrade Project 088</t>
  </si>
  <si>
    <t>Task 002 of Sports Stadium Upgrade Project 088</t>
  </si>
  <si>
    <t>Task 003 of Sports Stadium Upgrade Project 088</t>
  </si>
  <si>
    <t>P089</t>
  </si>
  <si>
    <t>Public Library Renovation Project 089</t>
  </si>
  <si>
    <t>Task 001 of Public Library Renovation Project 089</t>
  </si>
  <si>
    <t>Task 002 of Public Library Renovation Project 089</t>
  </si>
  <si>
    <t>Task 003 of Public Library Renovation Project 089</t>
  </si>
  <si>
    <t>P090</t>
  </si>
  <si>
    <t>Building a Park Project 090</t>
  </si>
  <si>
    <t>Task 001 of Building a Park Project 090</t>
  </si>
  <si>
    <t>Task 002 of Building a Park Project 090</t>
  </si>
  <si>
    <t>Task 003 of Building a Park Project 090</t>
  </si>
  <si>
    <t>P091</t>
  </si>
  <si>
    <t>Renovation of a School Project 091</t>
  </si>
  <si>
    <t>Task 001 of Renovation of a School Project 091</t>
  </si>
  <si>
    <t>Task 002 of Renovation of a School Project 091</t>
  </si>
  <si>
    <t>Task 003 of Renovation of a School Project 091</t>
  </si>
  <si>
    <t>P092</t>
  </si>
  <si>
    <t>Innovation of a Classroom Project 092</t>
  </si>
  <si>
    <t>Task 001 of Innovation of a Classroom Project 092</t>
  </si>
  <si>
    <t>Task 002 of Innovation of a Classroom Project 092</t>
  </si>
  <si>
    <t>Task 003 of Innovation of a Classroom Project 092</t>
  </si>
  <si>
    <t>P093</t>
  </si>
  <si>
    <t>Construction of a Hospital Wing Project 093</t>
  </si>
  <si>
    <t>Task 001 of Construction of a Hospital Wing Project 093</t>
  </si>
  <si>
    <t>Task 002 of Construction of a Hospital Wing Project 093</t>
  </si>
  <si>
    <t>Task 003 of Construction of a Hospital Wing Project 093</t>
  </si>
  <si>
    <t>P094</t>
  </si>
  <si>
    <t>Road Expansion Project 094</t>
  </si>
  <si>
    <t>Task 001 of Road Expansion Project 094</t>
  </si>
  <si>
    <t>Task 002 of Road Expansion Project 094</t>
  </si>
  <si>
    <t>Task 003 of Road Expansion Project 094</t>
  </si>
  <si>
    <t>P095</t>
  </si>
  <si>
    <t>Bridge Maintenance Project 095</t>
  </si>
  <si>
    <t>Task 001 of Bridge Maintenance Project 095</t>
  </si>
  <si>
    <t>Task 002 of Bridge Maintenance Project 095</t>
  </si>
  <si>
    <t>Task 003 of Bridge Maintenance Project 095</t>
  </si>
  <si>
    <t>P096</t>
  </si>
  <si>
    <t>Office Building Renovation Project 096</t>
  </si>
  <si>
    <t>Task 001 of Office Building Renovation Project 096</t>
  </si>
  <si>
    <t>Task 002 of Office Building Renovation Project 096</t>
  </si>
  <si>
    <t>Task 003 of Office Building Renovation Project 096</t>
  </si>
  <si>
    <t>P097</t>
  </si>
  <si>
    <t>Apartment Complex Development Project 097</t>
  </si>
  <si>
    <t>Task 001 of Apartment Complex Development Project 097</t>
  </si>
  <si>
    <t>Task 002 of Apartment Complex Development Project 097</t>
  </si>
  <si>
    <t>Task 003 of Apartment Complex Development Project 097</t>
  </si>
  <si>
    <t>P098</t>
  </si>
  <si>
    <t>Commercial Center Construction Project 098</t>
  </si>
  <si>
    <t>Task 001 of Commercial Center Construction Project 098</t>
  </si>
  <si>
    <t>Task 002 of Commercial Center Construction Project 098</t>
  </si>
  <si>
    <t>Task 003 of Commercial Center Construction Project 098</t>
  </si>
  <si>
    <t>P099</t>
  </si>
  <si>
    <t>Highway Reconstruction Project 099</t>
  </si>
  <si>
    <t>Task 001 of Highway Reconstruction Project 099</t>
  </si>
  <si>
    <t>Task 002 of Highway Reconstruction Project 099</t>
  </si>
  <si>
    <t>Task 003 of Highway Reconstruction Project 099</t>
  </si>
  <si>
    <t>P100</t>
  </si>
  <si>
    <t>Airport Expansion Project 100</t>
  </si>
  <si>
    <t>Task 001 of Airport Expansion Project 100</t>
  </si>
  <si>
    <t>Task 002 of Airport Expansion Project 100</t>
  </si>
  <si>
    <t>Task 003 of Airport Expansion Project 100</t>
  </si>
  <si>
    <t>PORTFOLIO CPI</t>
  </si>
  <si>
    <t>COST VARIANCE</t>
  </si>
  <si>
    <t>BUDGET AT RISK</t>
  </si>
  <si>
    <t>ON-BUDGET RATE</t>
  </si>
  <si>
    <t>earned value / actual</t>
  </si>
  <si>
    <t>favorable vs budget</t>
  </si>
  <si>
    <t>overrun across 7 tasks</t>
  </si>
  <si>
    <t>billed tasks within budget</t>
  </si>
  <si>
    <t>EARNED VALUE</t>
  </si>
  <si>
    <t>AVG DURATION</t>
  </si>
  <si>
    <t>TASKS BILLED</t>
  </si>
  <si>
    <t>value of work performed</t>
  </si>
  <si>
    <t>tasks fully complete</t>
  </si>
  <si>
    <t>planned task length</t>
  </si>
  <si>
    <t>of 300 have actuals</t>
  </si>
  <si>
    <t>CUMULATIVE SPEND (S-CURVE)</t>
  </si>
  <si>
    <t>BUDGET PARETO — LOCATION</t>
  </si>
  <si>
    <t>RISK SEGMENTS BY TYPE</t>
  </si>
  <si>
    <t>PROGRESS DISTRIBUTION</t>
  </si>
  <si>
    <t>Portfolio CPI (billed)</t>
  </si>
  <si>
    <t>Actual</t>
  </si>
  <si>
    <t>Cum Actual</t>
  </si>
  <si>
    <t>Cum Budget</t>
  </si>
  <si>
    <t>Cumulative %</t>
  </si>
  <si>
    <t>Type</t>
  </si>
  <si>
    <t>Completion Band</t>
  </si>
  <si>
    <t>Cost Variance (Favorable)</t>
  </si>
  <si>
    <t>0-20%</t>
  </si>
  <si>
    <t>Budget at Risk (Overruns)</t>
  </si>
  <si>
    <t>20-40%</t>
  </si>
  <si>
    <t>Avg Task Duration (Days)</t>
  </si>
  <si>
    <t>40-60%</t>
  </si>
  <si>
    <t>Tasks Billed</t>
  </si>
  <si>
    <t>60-80%</t>
  </si>
  <si>
    <t>On-Budget Rate</t>
  </si>
  <si>
    <t>80-99%</t>
  </si>
  <si>
    <t>Task Completion Rate</t>
  </si>
  <si>
    <t>100%</t>
  </si>
  <si>
    <t>Total Earned Value</t>
  </si>
  <si>
    <t>TEAM EFFICIENCY</t>
  </si>
  <si>
    <t>Member</t>
  </si>
  <si>
    <t>Completion %</t>
  </si>
  <si>
    <t>Hrs/Task</t>
  </si>
  <si>
    <t>Duration (Days)</t>
  </si>
  <si>
    <t>Earned Value</t>
  </si>
  <si>
    <t>Over Budget?</t>
  </si>
  <si>
    <t>Overrun $</t>
  </si>
  <si>
    <t>Billed?</t>
  </si>
  <si>
    <t>Total Effort</t>
  </si>
  <si>
    <t>Status x Priority - Task Heatmap</t>
  </si>
  <si>
    <t>Cell = task count; deeper red = higher concentration</t>
  </si>
  <si>
    <t>Project</t>
  </si>
  <si>
    <t>Task</t>
  </si>
  <si>
    <t>Owner</t>
  </si>
  <si>
    <t>% Over</t>
  </si>
  <si>
    <t>Office Building Renovation 096</t>
  </si>
  <si>
    <t>University Dormitory Constr. 027</t>
  </si>
  <si>
    <t>Apartment Complex Dev. 052</t>
  </si>
  <si>
    <t>Apartment Complex Dev. 022</t>
  </si>
  <si>
    <t>▸  Overruns cluster in "Other" projects (4 of 7), led by Park P075 (+46%) and Airport P010 (+208%) - both warrant scope/estimate root-cause reviews before more cash is committed.</t>
  </si>
  <si>
    <t>▸  Risk quadrant: "Other" ($555K) and "Renovation" ($395K) pair the largest budgets with the lowest average progress (~60-62%) - highest exposure, slowest burn.</t>
  </si>
  <si>
    <t>▸  Resourcing is capacity-bound, not skill-bound: Frank leads on completion rate (44%) with the lightest load, while the two heaviest workloads (Charlie, Alice) sit near the portfolio-low ~26% - rebalancing should lift throughput.</t>
  </si>
  <si>
    <t>▸  Schedule: average planned task duration is 148 days; Innovation runs longest (237 days), compounding its delivery risk and tying up budget for longer.</t>
  </si>
  <si>
    <t>▸  Budget is geographically diversified - it takes ~10 of 13 states to reach 80% of spend - limiting single-location dependency but offering little vendor-consolidation leverage.</t>
  </si>
  <si>
    <t>Completed Task</t>
  </si>
  <si>
    <t>TASK COMPLETION %</t>
  </si>
  <si>
    <t>Completed Project</t>
  </si>
  <si>
    <t>KPI PERFORMANCE DASHBOARD</t>
  </si>
  <si>
    <t>Period : Feb 2024 – Oct 2025</t>
  </si>
  <si>
    <t>Across Portfolio</t>
  </si>
  <si>
    <t>29% Task Completed</t>
  </si>
  <si>
    <t>26% Project Completed</t>
  </si>
  <si>
    <t>KPI  OVERVIEW</t>
  </si>
  <si>
    <r>
      <t xml:space="preserve">▸  Spend is heavily back-loaded: only </t>
    </r>
    <r>
      <rPr>
        <b/>
        <i/>
        <sz val="12"/>
        <color rgb="FF1B2A3A"/>
        <rFont val="Calibri"/>
        <family val="2"/>
        <scheme val="minor"/>
      </rPr>
      <t>30.7%</t>
    </r>
    <r>
      <rPr>
        <i/>
        <sz val="12"/>
        <color rgb="FF1B2A3A"/>
        <rFont val="Calibri"/>
        <family val="2"/>
        <scheme val="minor"/>
      </rPr>
      <t xml:space="preserve"> of the</t>
    </r>
    <r>
      <rPr>
        <b/>
        <i/>
        <sz val="12"/>
        <color rgb="FF1B2A3A"/>
        <rFont val="Calibri"/>
        <family val="2"/>
        <scheme val="minor"/>
      </rPr>
      <t xml:space="preserve"> $1.69M</t>
    </r>
    <r>
      <rPr>
        <i/>
        <sz val="12"/>
        <color rgb="FF1B2A3A"/>
        <rFont val="Calibri"/>
        <family val="2"/>
        <scheme val="minor"/>
      </rPr>
      <t xml:space="preserve"> budget is committed to date, signalling an early-stage or schedule-delayed portfolio.</t>
    </r>
  </si>
  <si>
    <r>
      <t>▸  Delivery risk is concentrated:</t>
    </r>
    <r>
      <rPr>
        <b/>
        <i/>
        <sz val="12"/>
        <color rgb="FF1B2A3A"/>
        <rFont val="Calibri"/>
        <family val="2"/>
        <scheme val="minor"/>
      </rPr>
      <t xml:space="preserve"> 49 of 100</t>
    </r>
    <r>
      <rPr>
        <i/>
        <sz val="12"/>
        <color rgb="FF1B2A3A"/>
        <rFont val="Calibri"/>
        <family val="2"/>
        <scheme val="minor"/>
      </rPr>
      <t xml:space="preserve"> projects are Behind or On Hold, versus </t>
    </r>
    <r>
      <rPr>
        <b/>
        <i/>
        <sz val="12"/>
        <color rgb="FF1B2A3A"/>
        <rFont val="Calibri"/>
        <family val="2"/>
        <scheme val="minor"/>
      </rPr>
      <t xml:space="preserve">26 </t>
    </r>
    <r>
      <rPr>
        <i/>
        <sz val="12"/>
        <color rgb="FF1B2A3A"/>
        <rFont val="Calibri"/>
        <family val="2"/>
        <scheme val="minor"/>
      </rPr>
      <t>Completed — nearly half the portfolio needs intervention.</t>
    </r>
  </si>
  <si>
    <r>
      <t>▸  September 2024 is the spend peak at</t>
    </r>
    <r>
      <rPr>
        <b/>
        <i/>
        <sz val="12"/>
        <color rgb="FF1B2A3A"/>
        <rFont val="Calibri"/>
        <family val="2"/>
        <scheme val="minor"/>
      </rPr>
      <t xml:space="preserve"> $148K</t>
    </r>
    <r>
      <rPr>
        <i/>
        <sz val="12"/>
        <color rgb="FF1B2A3A"/>
        <rFont val="Calibri"/>
        <family val="2"/>
        <scheme val="minor"/>
      </rPr>
      <t xml:space="preserve"> (</t>
    </r>
    <r>
      <rPr>
        <b/>
        <i/>
        <sz val="12"/>
        <color rgb="FF1B2A3A"/>
        <rFont val="Calibri"/>
        <family val="2"/>
        <scheme val="minor"/>
      </rPr>
      <t xml:space="preserve">29% </t>
    </r>
    <r>
      <rPr>
        <i/>
        <sz val="12"/>
        <color rgb="FF1B2A3A"/>
        <rFont val="Calibri"/>
        <family val="2"/>
        <scheme val="minor"/>
      </rPr>
      <t>of all actual cost), worth investigating for cost spikes or milestone clustering.</t>
    </r>
  </si>
  <si>
    <r>
      <t xml:space="preserve">▸  Workload is concentrated: Charlie and Alice carry </t>
    </r>
    <r>
      <rPr>
        <b/>
        <i/>
        <sz val="12"/>
        <color rgb="FF1B2A3A"/>
        <rFont val="Calibri"/>
        <family val="2"/>
        <scheme val="minor"/>
      </rPr>
      <t xml:space="preserve">114 of 300 tasks </t>
    </r>
    <r>
      <rPr>
        <i/>
        <sz val="12"/>
        <color rgb="FF1B2A3A"/>
        <rFont val="Calibri"/>
        <family val="2"/>
        <scheme val="minor"/>
      </rPr>
      <t xml:space="preserve">(38%) and </t>
    </r>
    <r>
      <rPr>
        <b/>
        <i/>
        <sz val="12"/>
        <color rgb="FF1B2A3A"/>
        <rFont val="Calibri"/>
        <family val="2"/>
        <scheme val="minor"/>
      </rPr>
      <t>~40%</t>
    </r>
    <r>
      <rPr>
        <i/>
        <sz val="12"/>
        <color rgb="FF1B2A3A"/>
        <rFont val="Calibri"/>
        <family val="2"/>
        <scheme val="minor"/>
      </rPr>
      <t xml:space="preserve"> of logged hours — a key-person dependency risk.</t>
    </r>
  </si>
  <si>
    <r>
      <t xml:space="preserve">▸  Cost control: </t>
    </r>
    <r>
      <rPr>
        <b/>
        <i/>
        <sz val="12"/>
        <color rgb="FF1B2A3A"/>
        <rFont val="Calibri"/>
        <family val="2"/>
        <scheme val="minor"/>
      </rPr>
      <t>7</t>
    </r>
    <r>
      <rPr>
        <i/>
        <sz val="12"/>
        <color rgb="FF1B2A3A"/>
        <rFont val="Calibri"/>
        <family val="2"/>
        <scheme val="minor"/>
      </rPr>
      <t xml:space="preserve"> tasks are over budget by a combined </t>
    </r>
    <r>
      <rPr>
        <b/>
        <i/>
        <sz val="12"/>
        <color rgb="FF1B2A3A"/>
        <rFont val="Calibri"/>
        <family val="2"/>
        <scheme val="minor"/>
      </rPr>
      <t>$16.5K;</t>
    </r>
    <r>
      <rPr>
        <i/>
        <sz val="12"/>
        <color rgb="FF1B2A3A"/>
        <rFont val="Calibri"/>
        <family val="2"/>
        <scheme val="minor"/>
      </rPr>
      <t xml:space="preserve"> High-priority items make up </t>
    </r>
    <r>
      <rPr>
        <b/>
        <i/>
        <sz val="12"/>
        <color rgb="FF1B2A3A"/>
        <rFont val="Calibri"/>
        <family val="2"/>
        <scheme val="minor"/>
      </rPr>
      <t>52%</t>
    </r>
    <r>
      <rPr>
        <i/>
        <sz val="12"/>
        <color rgb="FF1B2A3A"/>
        <rFont val="Calibri"/>
        <family val="2"/>
        <scheme val="minor"/>
      </rPr>
      <t xml:space="preserve"> of tasks, suggesting priority inflation.</t>
    </r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</si>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</sst>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dd\-mmm\-yy"/>
    <numFmt numFmtId="167" formatCode="0.000"/>
    <numFmt numFmtId="168" formatCode="0.0"/>
  </numFmts>
  <fonts count="29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sz val="11"/>
      <color rgb="FF16263A"/>
      <name val="Calibri"/>
      <charset val="1"/>
    </font>
    <font>
      <b/>
      <sz val="10"/>
      <color rgb="FFFFFFFF"/>
      <name val="Calibri"/>
      <charset val="1"/>
    </font>
    <font>
      <b/>
      <sz val="9"/>
      <color rgb="FF5B6B7B"/>
      <name val="Calibri"/>
      <charset val="1"/>
    </font>
    <font>
      <sz val="10"/>
      <color rgb="FF1B2A3A"/>
      <name val="Calibri"/>
      <charset val="1"/>
    </font>
    <font>
      <b/>
      <sz val="10"/>
      <color rgb="FF16263A"/>
      <name val="Calibri"/>
      <charset val="1"/>
    </font>
    <font>
      <sz val="12"/>
      <color theme="1"/>
      <name val="Calibri"/>
      <family val="2"/>
    </font>
    <font>
      <b/>
      <sz val="14"/>
      <color rgb="FF16263A"/>
      <name val="Calibri"/>
      <family val="2"/>
    </font>
    <font>
      <sz val="11"/>
      <color theme="0"/>
      <name val="Calibri"/>
      <family val="2"/>
      <charset val="1"/>
    </font>
    <font>
      <b/>
      <sz val="14"/>
      <color theme="0"/>
      <name val="Calibri"/>
      <family val="2"/>
    </font>
    <font>
      <sz val="11"/>
      <color rgb="FF1B2A3A"/>
      <name val="Calibri"/>
      <family val="2"/>
    </font>
    <font>
      <sz val="9"/>
      <color rgb="FF1B2A3A"/>
      <name val="Calibri"/>
      <charset val="1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i/>
      <sz val="8"/>
      <color rgb="FF5B6B7B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B2A3A"/>
      <name val="Calibri"/>
      <family val="2"/>
    </font>
    <font>
      <sz val="14"/>
      <color theme="1"/>
      <name val="Calibri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21"/>
      <name val="Calibri"/>
      <family val="2"/>
    </font>
    <font>
      <sz val="8.5"/>
      <name val="Calibri"/>
      <family val="2"/>
    </font>
    <font>
      <sz val="8"/>
      <name val="Calibri"/>
      <family val="2"/>
    </font>
    <font>
      <b/>
      <sz val="20"/>
      <color rgb="FFFFFFFF"/>
      <name val="Calibri"/>
      <family val="2"/>
    </font>
    <font>
      <b/>
      <i/>
      <sz val="10"/>
      <name val="Calibri"/>
      <family val="2"/>
    </font>
    <font>
      <i/>
      <sz val="12"/>
      <color rgb="FF1B2A3A"/>
      <name val="Calibri"/>
      <family val="2"/>
      <scheme val="minor"/>
    </font>
    <font>
      <b/>
      <i/>
      <sz val="12"/>
      <color rgb="FF1B2A3A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4F7FB"/>
        <bgColor rgb="FFFFFFFF"/>
      </patternFill>
    </fill>
    <fill>
      <patternFill patternType="solid">
        <fgColor rgb="FF16263A"/>
        <bgColor rgb="FF1B2A3A"/>
      </patternFill>
    </fill>
    <fill>
      <patternFill patternType="solid">
        <fgColor rgb="FF1F3350"/>
        <bgColor rgb="FF1B2A3A"/>
      </patternFill>
    </fill>
    <fill>
      <patternFill patternType="solid">
        <fgColor rgb="FFFFFFFF"/>
        <bgColor rgb="FFF4F7FB"/>
      </patternFill>
    </fill>
    <fill>
      <patternFill patternType="solid">
        <fgColor theme="8" tint="-0.499984740745262"/>
        <bgColor rgb="FF1B2A3A"/>
      </patternFill>
    </fill>
    <fill>
      <patternFill patternType="solid">
        <fgColor theme="7" tint="0.79998168889431442"/>
        <bgColor rgb="FFF4F7FB"/>
      </patternFill>
    </fill>
    <fill>
      <patternFill patternType="solid">
        <fgColor theme="8" tint="0.79998168889431442"/>
        <bgColor rgb="FFF4F7FB"/>
      </patternFill>
    </fill>
    <fill>
      <patternFill patternType="solid">
        <fgColor theme="9" tint="0.79998168889431442"/>
        <bgColor rgb="FFF4F7FB"/>
      </patternFill>
    </fill>
    <fill>
      <patternFill patternType="solid">
        <fgColor theme="5" tint="0.79998168889431442"/>
        <bgColor rgb="FFF4F7FB"/>
      </patternFill>
    </fill>
    <fill>
      <patternFill patternType="solid">
        <fgColor theme="6" tint="0.79998168889431442"/>
        <bgColor rgb="FFF4F7FB"/>
      </patternFill>
    </fill>
    <fill>
      <patternFill patternType="solid">
        <fgColor theme="0"/>
        <bgColor rgb="FF4F81BD"/>
      </patternFill>
    </fill>
    <fill>
      <patternFill patternType="solid">
        <fgColor theme="0"/>
        <bgColor rgb="FF27AE60"/>
      </patternFill>
    </fill>
    <fill>
      <patternFill patternType="solid">
        <fgColor theme="0"/>
        <bgColor rgb="FF0E8C7A"/>
      </patternFill>
    </fill>
    <fill>
      <patternFill patternType="solid">
        <fgColor theme="0"/>
        <bgColor rgb="FFFF8080"/>
      </patternFill>
    </fill>
    <fill>
      <patternFill patternType="solid">
        <fgColor theme="8" tint="-0.499984740745262"/>
        <bgColor rgb="FF4F81BD"/>
      </patternFill>
    </fill>
    <fill>
      <patternFill patternType="solid">
        <fgColor theme="8" tint="0.39997558519241921"/>
        <bgColor rgb="FF1B2A3A"/>
      </patternFill>
    </fill>
    <fill>
      <patternFill patternType="solid">
        <fgColor theme="8" tint="-0.499984740745262"/>
        <bgColor rgb="FF0E8C7A"/>
      </patternFill>
    </fill>
    <fill>
      <patternFill patternType="solid">
        <fgColor theme="8" tint="-0.499984740745262"/>
        <bgColor rgb="FFFF8080"/>
      </patternFill>
    </fill>
    <fill>
      <patternFill patternType="solid">
        <fgColor theme="8" tint="-0.499984740745262"/>
        <bgColor rgb="FF27AE60"/>
      </patternFill>
    </fill>
    <fill>
      <patternFill patternType="solid">
        <fgColor theme="8" tint="-0.499984740745262"/>
        <bgColor rgb="FFD9E6FB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2" borderId="0" xfId="0" applyFill="1"/>
    <xf numFmtId="0" fontId="2" fillId="0" borderId="0" xfId="0" applyFont="1"/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3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3" fillId="3" borderId="0" xfId="0" applyFont="1" applyFill="1" applyAlignment="1">
      <alignment horizontal="center" vertical="center" wrapText="1"/>
    </xf>
    <xf numFmtId="0" fontId="5" fillId="2" borderId="0" xfId="0" applyFont="1" applyFill="1"/>
    <xf numFmtId="166" fontId="5" fillId="2" borderId="0" xfId="0" applyNumberFormat="1" applyFont="1" applyFill="1"/>
    <xf numFmtId="164" fontId="5" fillId="2" borderId="0" xfId="0" applyNumberFormat="1" applyFont="1" applyFill="1"/>
    <xf numFmtId="9" fontId="5" fillId="2" borderId="0" xfId="0" applyNumberFormat="1" applyFont="1" applyFill="1"/>
    <xf numFmtId="166" fontId="5" fillId="0" borderId="0" xfId="0" applyNumberFormat="1" applyFont="1"/>
    <xf numFmtId="9" fontId="5" fillId="0" borderId="0" xfId="0" applyNumberFormat="1" applyFont="1"/>
    <xf numFmtId="0" fontId="7" fillId="2" borderId="0" xfId="0" applyFont="1" applyFill="1"/>
    <xf numFmtId="0" fontId="9" fillId="0" borderId="0" xfId="0" applyFont="1"/>
    <xf numFmtId="167" fontId="6" fillId="0" borderId="0" xfId="0" applyNumberFormat="1" applyFont="1" applyAlignment="1">
      <alignment horizontal="right" vertical="center"/>
    </xf>
    <xf numFmtId="0" fontId="12" fillId="0" borderId="0" xfId="0" applyFont="1"/>
    <xf numFmtId="164" fontId="0" fillId="0" borderId="0" xfId="0" applyNumberFormat="1"/>
    <xf numFmtId="165" fontId="0" fillId="0" borderId="0" xfId="0" applyNumberFormat="1"/>
    <xf numFmtId="168" fontId="0" fillId="0" borderId="0" xfId="0" applyNumberFormat="1"/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2" borderId="0" xfId="0" applyFont="1" applyFill="1"/>
    <xf numFmtId="0" fontId="17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164" fontId="11" fillId="5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6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vertical="center"/>
    </xf>
    <xf numFmtId="164" fontId="11" fillId="8" borderId="0" xfId="0" applyNumberFormat="1" applyFont="1" applyFill="1" applyAlignment="1">
      <alignment vertical="center"/>
    </xf>
    <xf numFmtId="0" fontId="14" fillId="2" borderId="0" xfId="0" applyFont="1" applyFill="1" applyAlignment="1">
      <alignment horizontal="left"/>
    </xf>
    <xf numFmtId="3" fontId="21" fillId="15" borderId="0" xfId="0" applyNumberFormat="1" applyFont="1" applyFill="1" applyAlignment="1">
      <alignment horizontal="left" vertical="center"/>
    </xf>
    <xf numFmtId="3" fontId="21" fillId="15" borderId="5" xfId="0" applyNumberFormat="1" applyFont="1" applyFill="1" applyBorder="1" applyAlignment="1">
      <alignment horizontal="left" vertical="center"/>
    </xf>
    <xf numFmtId="3" fontId="21" fillId="15" borderId="6" xfId="0" applyNumberFormat="1" applyFont="1" applyFill="1" applyBorder="1" applyAlignment="1">
      <alignment horizontal="left" vertical="center"/>
    </xf>
    <xf numFmtId="0" fontId="23" fillId="15" borderId="7" xfId="0" applyFont="1" applyFill="1" applyBorder="1" applyAlignment="1">
      <alignment horizontal="left" vertical="top"/>
    </xf>
    <xf numFmtId="0" fontId="23" fillId="15" borderId="8" xfId="0" applyFont="1" applyFill="1" applyBorder="1" applyAlignment="1">
      <alignment horizontal="left" vertical="top"/>
    </xf>
    <xf numFmtId="0" fontId="23" fillId="15" borderId="9" xfId="0" applyFont="1" applyFill="1" applyBorder="1" applyAlignment="1">
      <alignment horizontal="left" vertical="top"/>
    </xf>
    <xf numFmtId="0" fontId="24" fillId="12" borderId="7" xfId="0" applyFont="1" applyFill="1" applyBorder="1" applyAlignment="1">
      <alignment horizontal="left" vertical="top"/>
    </xf>
    <xf numFmtId="0" fontId="24" fillId="12" borderId="8" xfId="0" applyFont="1" applyFill="1" applyBorder="1" applyAlignment="1">
      <alignment horizontal="left" vertical="top"/>
    </xf>
    <xf numFmtId="0" fontId="24" fillId="12" borderId="9" xfId="0" applyFont="1" applyFill="1" applyBorder="1" applyAlignment="1">
      <alignment horizontal="left" vertical="top"/>
    </xf>
    <xf numFmtId="0" fontId="13" fillId="16" borderId="2" xfId="0" applyFont="1" applyFill="1" applyBorder="1" applyAlignment="1">
      <alignment horizontal="left" vertical="center"/>
    </xf>
    <xf numFmtId="0" fontId="13" fillId="16" borderId="3" xfId="0" applyFont="1" applyFill="1" applyBorder="1" applyAlignment="1">
      <alignment horizontal="left" vertical="center"/>
    </xf>
    <xf numFmtId="0" fontId="13" fillId="16" borderId="4" xfId="0" applyFont="1" applyFill="1" applyBorder="1" applyAlignment="1">
      <alignment horizontal="left" vertical="center"/>
    </xf>
    <xf numFmtId="0" fontId="13" fillId="18" borderId="2" xfId="0" applyFont="1" applyFill="1" applyBorder="1" applyAlignment="1">
      <alignment horizontal="left" vertical="center"/>
    </xf>
    <xf numFmtId="0" fontId="13" fillId="18" borderId="3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/>
    </xf>
    <xf numFmtId="0" fontId="13" fillId="19" borderId="2" xfId="0" applyFont="1" applyFill="1" applyBorder="1" applyAlignment="1">
      <alignment horizontal="left" vertical="center"/>
    </xf>
    <xf numFmtId="0" fontId="13" fillId="19" borderId="3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/>
    </xf>
    <xf numFmtId="164" fontId="21" fillId="14" borderId="6" xfId="0" applyNumberFormat="1" applyFont="1" applyFill="1" applyBorder="1" applyAlignment="1">
      <alignment horizontal="left" vertical="center"/>
    </xf>
    <xf numFmtId="0" fontId="24" fillId="15" borderId="7" xfId="0" applyFont="1" applyFill="1" applyBorder="1" applyAlignment="1">
      <alignment horizontal="left" vertical="top"/>
    </xf>
    <xf numFmtId="0" fontId="24" fillId="15" borderId="8" xfId="0" applyFont="1" applyFill="1" applyBorder="1" applyAlignment="1">
      <alignment horizontal="left" vertical="top"/>
    </xf>
    <xf numFmtId="0" fontId="24" fillId="15" borderId="9" xfId="0" applyFont="1" applyFill="1" applyBorder="1" applyAlignment="1">
      <alignment horizontal="left" vertical="top"/>
    </xf>
    <xf numFmtId="0" fontId="22" fillId="14" borderId="5" xfId="0" applyFont="1" applyFill="1" applyBorder="1" applyAlignment="1">
      <alignment horizontal="left" vertical="center"/>
    </xf>
    <xf numFmtId="0" fontId="22" fillId="14" borderId="0" xfId="0" applyFont="1" applyFill="1" applyAlignment="1">
      <alignment horizontal="left" vertical="center"/>
    </xf>
    <xf numFmtId="0" fontId="22" fillId="14" borderId="6" xfId="0" applyFont="1" applyFill="1" applyBorder="1" applyAlignment="1">
      <alignment horizontal="left" vertical="center"/>
    </xf>
    <xf numFmtId="0" fontId="24" fillId="14" borderId="7" xfId="0" applyFont="1" applyFill="1" applyBorder="1" applyAlignment="1">
      <alignment horizontal="left" vertical="top"/>
    </xf>
    <xf numFmtId="0" fontId="24" fillId="14" borderId="8" xfId="0" applyFont="1" applyFill="1" applyBorder="1" applyAlignment="1">
      <alignment horizontal="left" vertical="top"/>
    </xf>
    <xf numFmtId="0" fontId="24" fillId="14" borderId="9" xfId="0" applyFont="1" applyFill="1" applyBorder="1" applyAlignment="1">
      <alignment horizontal="left" vertical="top"/>
    </xf>
    <xf numFmtId="0" fontId="13" fillId="16" borderId="2" xfId="0" applyFont="1" applyFill="1" applyBorder="1" applyAlignment="1">
      <alignment horizontal="left" vertical="center"/>
    </xf>
    <xf numFmtId="0" fontId="13" fillId="16" borderId="3" xfId="0" applyFont="1" applyFill="1" applyBorder="1" applyAlignment="1">
      <alignment horizontal="left" vertical="center"/>
    </xf>
    <xf numFmtId="0" fontId="13" fillId="16" borderId="4" xfId="0" applyFont="1" applyFill="1" applyBorder="1" applyAlignment="1">
      <alignment horizontal="left" vertical="center"/>
    </xf>
    <xf numFmtId="0" fontId="2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13" fillId="18" borderId="3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/>
    </xf>
    <xf numFmtId="3" fontId="21" fillId="12" borderId="5" xfId="0" applyNumberFormat="1" applyFont="1" applyFill="1" applyBorder="1" applyAlignment="1">
      <alignment horizontal="left" vertical="center"/>
    </xf>
    <xf numFmtId="3" fontId="21" fillId="12" borderId="0" xfId="0" applyNumberFormat="1" applyFont="1" applyFill="1" applyAlignment="1">
      <alignment horizontal="left" vertical="center"/>
    </xf>
    <xf numFmtId="3" fontId="21" fillId="12" borderId="6" xfId="0" applyNumberFormat="1" applyFont="1" applyFill="1" applyBorder="1" applyAlignment="1">
      <alignment horizontal="left" vertical="center"/>
    </xf>
    <xf numFmtId="0" fontId="21" fillId="13" borderId="5" xfId="0" applyFont="1" applyFill="1" applyBorder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0" fontId="21" fillId="13" borderId="6" xfId="0" applyFont="1" applyFill="1" applyBorder="1" applyAlignment="1">
      <alignment horizontal="left" vertical="center"/>
    </xf>
    <xf numFmtId="0" fontId="23" fillId="12" borderId="7" xfId="0" applyFont="1" applyFill="1" applyBorder="1" applyAlignment="1">
      <alignment horizontal="left" vertical="top"/>
    </xf>
    <xf numFmtId="0" fontId="23" fillId="12" borderId="8" xfId="0" applyFont="1" applyFill="1" applyBorder="1" applyAlignment="1">
      <alignment horizontal="left" vertical="top"/>
    </xf>
    <xf numFmtId="0" fontId="23" fillId="12" borderId="9" xfId="0" applyFont="1" applyFill="1" applyBorder="1" applyAlignment="1">
      <alignment horizontal="left" vertical="top"/>
    </xf>
    <xf numFmtId="0" fontId="23" fillId="13" borderId="7" xfId="0" applyFont="1" applyFill="1" applyBorder="1" applyAlignment="1">
      <alignment horizontal="left" vertical="top"/>
    </xf>
    <xf numFmtId="0" fontId="23" fillId="13" borderId="8" xfId="0" applyFont="1" applyFill="1" applyBorder="1" applyAlignment="1">
      <alignment horizontal="left" vertical="top"/>
    </xf>
    <xf numFmtId="0" fontId="23" fillId="13" borderId="9" xfId="0" applyFont="1" applyFill="1" applyBorder="1" applyAlignment="1">
      <alignment horizontal="left" vertical="top"/>
    </xf>
    <xf numFmtId="0" fontId="23" fillId="15" borderId="7" xfId="0" applyFont="1" applyFill="1" applyBorder="1" applyAlignment="1">
      <alignment horizontal="left" vertical="top"/>
    </xf>
    <xf numFmtId="0" fontId="23" fillId="15" borderId="8" xfId="0" applyFont="1" applyFill="1" applyBorder="1" applyAlignment="1">
      <alignment horizontal="left" vertical="top"/>
    </xf>
    <xf numFmtId="0" fontId="23" fillId="15" borderId="9" xfId="0" applyFont="1" applyFill="1" applyBorder="1" applyAlignment="1">
      <alignment horizontal="left" vertical="top"/>
    </xf>
    <xf numFmtId="0" fontId="24" fillId="12" borderId="7" xfId="0" applyFont="1" applyFill="1" applyBorder="1" applyAlignment="1">
      <alignment horizontal="left" vertical="top"/>
    </xf>
    <xf numFmtId="0" fontId="24" fillId="12" borderId="8" xfId="0" applyFont="1" applyFill="1" applyBorder="1" applyAlignment="1">
      <alignment horizontal="left" vertical="top"/>
    </xf>
    <xf numFmtId="0" fontId="24" fillId="12" borderId="9" xfId="0" applyFont="1" applyFill="1" applyBorder="1" applyAlignment="1">
      <alignment horizontal="left" vertical="top"/>
    </xf>
    <xf numFmtId="165" fontId="21" fillId="12" borderId="5" xfId="0" applyNumberFormat="1" applyFont="1" applyFill="1" applyBorder="1" applyAlignment="1">
      <alignment horizontal="left" vertical="center"/>
    </xf>
    <xf numFmtId="165" fontId="21" fillId="12" borderId="0" xfId="0" applyNumberFormat="1" applyFont="1" applyFill="1" applyAlignment="1">
      <alignment horizontal="left" vertical="center"/>
    </xf>
    <xf numFmtId="165" fontId="21" fillId="12" borderId="6" xfId="0" applyNumberFormat="1" applyFont="1" applyFill="1" applyBorder="1" applyAlignment="1">
      <alignment horizontal="left" vertical="center"/>
    </xf>
    <xf numFmtId="0" fontId="23" fillId="14" borderId="7" xfId="0" applyFont="1" applyFill="1" applyBorder="1" applyAlignment="1">
      <alignment horizontal="left" vertical="top"/>
    </xf>
    <xf numFmtId="0" fontId="23" fillId="14" borderId="8" xfId="0" applyFont="1" applyFill="1" applyBorder="1" applyAlignment="1">
      <alignment horizontal="left" vertical="top"/>
    </xf>
    <xf numFmtId="0" fontId="23" fillId="14" borderId="9" xfId="0" applyFont="1" applyFill="1" applyBorder="1" applyAlignment="1">
      <alignment horizontal="left" vertical="top"/>
    </xf>
    <xf numFmtId="0" fontId="11" fillId="5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/>
    </xf>
    <xf numFmtId="164" fontId="22" fillId="12" borderId="5" xfId="0" applyNumberFormat="1" applyFont="1" applyFill="1" applyBorder="1" applyAlignment="1">
      <alignment horizontal="left" vertical="center"/>
    </xf>
    <xf numFmtId="164" fontId="22" fillId="12" borderId="0" xfId="0" applyNumberFormat="1" applyFont="1" applyFill="1" applyAlignment="1">
      <alignment horizontal="left" vertical="center"/>
    </xf>
    <xf numFmtId="164" fontId="22" fillId="12" borderId="6" xfId="0" applyNumberFormat="1" applyFont="1" applyFill="1" applyBorder="1" applyAlignment="1">
      <alignment horizontal="left" vertical="center"/>
    </xf>
    <xf numFmtId="165" fontId="22" fillId="12" borderId="5" xfId="0" applyNumberFormat="1" applyFont="1" applyFill="1" applyBorder="1" applyAlignment="1">
      <alignment horizontal="left" vertical="center"/>
    </xf>
    <xf numFmtId="165" fontId="22" fillId="12" borderId="0" xfId="0" applyNumberFormat="1" applyFont="1" applyFill="1" applyAlignment="1">
      <alignment horizontal="left" vertical="center"/>
    </xf>
    <xf numFmtId="165" fontId="22" fillId="12" borderId="6" xfId="0" applyNumberFormat="1" applyFont="1" applyFill="1" applyBorder="1" applyAlignment="1">
      <alignment horizontal="left" vertical="center"/>
    </xf>
    <xf numFmtId="3" fontId="22" fillId="12" borderId="5" xfId="0" applyNumberFormat="1" applyFont="1" applyFill="1" applyBorder="1" applyAlignment="1">
      <alignment horizontal="left" vertical="center"/>
    </xf>
    <xf numFmtId="3" fontId="22" fillId="12" borderId="0" xfId="0" applyNumberFormat="1" applyFont="1" applyFill="1" applyAlignment="1">
      <alignment horizontal="left" vertical="center"/>
    </xf>
    <xf numFmtId="3" fontId="22" fillId="12" borderId="6" xfId="0" applyNumberFormat="1" applyFont="1" applyFill="1" applyBorder="1" applyAlignment="1">
      <alignment horizontal="left" vertical="center"/>
    </xf>
    <xf numFmtId="0" fontId="13" fillId="19" borderId="2" xfId="0" applyFont="1" applyFill="1" applyBorder="1" applyAlignment="1">
      <alignment horizontal="left" vertical="center"/>
    </xf>
    <xf numFmtId="0" fontId="13" fillId="19" borderId="3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/>
    </xf>
    <xf numFmtId="3" fontId="21" fillId="15" borderId="5" xfId="0" applyNumberFormat="1" applyFont="1" applyFill="1" applyBorder="1" applyAlignment="1">
      <alignment horizontal="left" vertical="center"/>
    </xf>
    <xf numFmtId="3" fontId="21" fillId="15" borderId="0" xfId="0" applyNumberFormat="1" applyFont="1" applyFill="1" applyAlignment="1">
      <alignment horizontal="left" vertical="center"/>
    </xf>
    <xf numFmtId="3" fontId="21" fillId="15" borderId="6" xfId="0" applyNumberFormat="1" applyFont="1" applyFill="1" applyBorder="1" applyAlignment="1">
      <alignment horizontal="left" vertical="center"/>
    </xf>
    <xf numFmtId="0" fontId="13" fillId="20" borderId="2" xfId="0" applyFont="1" applyFill="1" applyBorder="1" applyAlignment="1">
      <alignment horizontal="left" vertical="center"/>
    </xf>
    <xf numFmtId="0" fontId="13" fillId="20" borderId="3" xfId="0" applyFont="1" applyFill="1" applyBorder="1" applyAlignment="1">
      <alignment horizontal="left" vertical="center"/>
    </xf>
    <xf numFmtId="0" fontId="13" fillId="20" borderId="4" xfId="0" applyFont="1" applyFill="1" applyBorder="1" applyAlignment="1">
      <alignment horizontal="left" vertical="center"/>
    </xf>
    <xf numFmtId="167" fontId="22" fillId="13" borderId="5" xfId="0" applyNumberFormat="1" applyFont="1" applyFill="1" applyBorder="1" applyAlignment="1">
      <alignment horizontal="left" vertical="center"/>
    </xf>
    <xf numFmtId="167" fontId="22" fillId="13" borderId="0" xfId="0" applyNumberFormat="1" applyFont="1" applyFill="1" applyAlignment="1">
      <alignment horizontal="left" vertical="center"/>
    </xf>
    <xf numFmtId="167" fontId="22" fillId="13" borderId="6" xfId="0" applyNumberFormat="1" applyFont="1" applyFill="1" applyBorder="1" applyAlignment="1">
      <alignment horizontal="left" vertical="center"/>
    </xf>
    <xf numFmtId="164" fontId="22" fillId="14" borderId="5" xfId="0" applyNumberFormat="1" applyFont="1" applyFill="1" applyBorder="1" applyAlignment="1">
      <alignment horizontal="left" vertical="center"/>
    </xf>
    <xf numFmtId="164" fontId="22" fillId="14" borderId="0" xfId="0" applyNumberFormat="1" applyFont="1" applyFill="1" applyAlignment="1">
      <alignment horizontal="left" vertical="center"/>
    </xf>
    <xf numFmtId="164" fontId="22" fillId="14" borderId="6" xfId="0" applyNumberFormat="1" applyFont="1" applyFill="1" applyBorder="1" applyAlignment="1">
      <alignment horizontal="left" vertical="center"/>
    </xf>
    <xf numFmtId="164" fontId="22" fillId="15" borderId="5" xfId="0" applyNumberFormat="1" applyFont="1" applyFill="1" applyBorder="1" applyAlignment="1">
      <alignment horizontal="left" vertical="center"/>
    </xf>
    <xf numFmtId="164" fontId="22" fillId="15" borderId="0" xfId="0" applyNumberFormat="1" applyFont="1" applyFill="1" applyAlignment="1">
      <alignment horizontal="left" vertical="center"/>
    </xf>
    <xf numFmtId="164" fontId="22" fillId="15" borderId="6" xfId="0" applyNumberFormat="1" applyFont="1" applyFill="1" applyBorder="1" applyAlignment="1">
      <alignment horizontal="left" vertical="center"/>
    </xf>
    <xf numFmtId="0" fontId="24" fillId="13" borderId="7" xfId="0" applyFont="1" applyFill="1" applyBorder="1" applyAlignment="1">
      <alignment horizontal="left" vertical="top"/>
    </xf>
    <xf numFmtId="0" fontId="24" fillId="13" borderId="8" xfId="0" applyFont="1" applyFill="1" applyBorder="1" applyAlignment="1">
      <alignment horizontal="left" vertical="top"/>
    </xf>
    <xf numFmtId="0" fontId="24" fillId="13" borderId="9" xfId="0" applyFont="1" applyFill="1" applyBorder="1" applyAlignment="1">
      <alignment horizontal="left" vertical="top"/>
    </xf>
    <xf numFmtId="9" fontId="18" fillId="8" borderId="0" xfId="0" applyNumberFormat="1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1" fillId="8" borderId="0" xfId="0" applyFont="1" applyFill="1" applyAlignment="1">
      <alignment vertical="center"/>
    </xf>
    <xf numFmtId="164" fontId="20" fillId="8" borderId="0" xfId="0" applyNumberFormat="1" applyFont="1" applyFill="1" applyAlignment="1">
      <alignment vertical="center"/>
    </xf>
    <xf numFmtId="165" fontId="22" fillId="12" borderId="5" xfId="0" applyNumberFormat="1" applyFont="1" applyFill="1" applyBorder="1" applyAlignment="1">
      <alignment horizontal="left" vertical="center" wrapText="1"/>
    </xf>
    <xf numFmtId="165" fontId="22" fillId="12" borderId="0" xfId="0" applyNumberFormat="1" applyFont="1" applyFill="1" applyAlignment="1">
      <alignment horizontal="left" vertical="center" wrapText="1"/>
    </xf>
    <xf numFmtId="165" fontId="22" fillId="12" borderId="6" xfId="0" applyNumberFormat="1" applyFont="1" applyFill="1" applyBorder="1" applyAlignment="1">
      <alignment horizontal="left" vertical="center" wrapText="1"/>
    </xf>
    <xf numFmtId="164" fontId="21" fillId="13" borderId="5" xfId="0" applyNumberFormat="1" applyFont="1" applyFill="1" applyBorder="1" applyAlignment="1">
      <alignment horizontal="left" vertical="center"/>
    </xf>
    <xf numFmtId="164" fontId="21" fillId="13" borderId="0" xfId="0" applyNumberFormat="1" applyFont="1" applyFill="1" applyAlignment="1">
      <alignment horizontal="left" vertical="center"/>
    </xf>
    <xf numFmtId="164" fontId="21" fillId="13" borderId="6" xfId="0" applyNumberFormat="1" applyFont="1" applyFill="1" applyBorder="1" applyAlignment="1">
      <alignment horizontal="left" vertical="center"/>
    </xf>
    <xf numFmtId="164" fontId="21" fillId="14" borderId="5" xfId="0" applyNumberFormat="1" applyFont="1" applyFill="1" applyBorder="1" applyAlignment="1">
      <alignment horizontal="left" vertical="center"/>
    </xf>
    <xf numFmtId="164" fontId="21" fillId="14" borderId="0" xfId="0" applyNumberFormat="1" applyFont="1" applyFill="1" applyAlignment="1">
      <alignment horizontal="left" vertical="center"/>
    </xf>
    <xf numFmtId="164" fontId="20" fillId="5" borderId="0" xfId="0" applyNumberFormat="1" applyFont="1" applyFill="1" applyAlignment="1">
      <alignment vertical="center"/>
    </xf>
    <xf numFmtId="9" fontId="18" fillId="5" borderId="0" xfId="0" applyNumberFormat="1" applyFont="1" applyFill="1" applyAlignment="1">
      <alignment vertical="center"/>
    </xf>
    <xf numFmtId="0" fontId="10" fillId="21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27" fillId="9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0" fontId="27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C7A"/>
      <rgbColor rgb="FFD9D9D9"/>
      <rgbColor rgb="FF878787"/>
      <rgbColor rgb="FF9999FF"/>
      <rgbColor rgb="FF993366"/>
      <rgbColor rgb="FFF4F7FB"/>
      <rgbColor rgb="FFD9E6FB"/>
      <rgbColor rgb="FF660066"/>
      <rgbColor rgb="FFFF8080"/>
      <rgbColor rgb="FF0066CC"/>
      <rgbColor rgb="FFCFE0F7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8EDF3"/>
      <rgbColor rgb="FFCCFFCC"/>
      <rgbColor rgb="FFFFFF99"/>
      <rgbColor rgb="FF99CCFF"/>
      <rgbColor rgb="FFFF99CC"/>
      <rgbColor rgb="FFCC99FF"/>
      <rgbColor rgb="FFFFCC99"/>
      <rgbColor rgb="FF2F6FED"/>
      <rgbColor rgb="FF2D9CDB"/>
      <rgbColor rgb="FF99CC00"/>
      <rgbColor rgb="FFF2C94C"/>
      <rgbColor rgb="FFF2994A"/>
      <rgbColor rgb="FFEB5757"/>
      <rgbColor rgb="FF5B6B7B"/>
      <rgbColor rgb="FF8A98A8"/>
      <rgbColor rgb="FF16263A"/>
      <rgbColor rgb="FF27AE60"/>
      <rgbColor rgb="FF003300"/>
      <rgbColor rgb="FF1B2A3A"/>
      <rgbColor rgb="FF993300"/>
      <rgbColor rgb="FF993366"/>
      <rgbColor rgb="FF6C5CE7"/>
      <rgbColor rgb="FF1F33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99"/>
      <color rgb="FF7EC234"/>
      <color rgb="FFFF6600"/>
      <color rgb="FFFF9933"/>
      <color rgb="FF0066FF"/>
      <color rgb="FFFF9900"/>
      <color rgb="FF2E7D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'Data Model'!$F$2</c:f>
              <c:strCache>
                <c:ptCount val="1"/>
                <c:pt idx="0">
                  <c:v>Projects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7AE6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A8F-4BD3-B379-09B578252FD8}"/>
              </c:ext>
            </c:extLst>
          </c:dPt>
          <c:dPt>
            <c:idx val="1"/>
            <c:bubble3D val="0"/>
            <c:spPr>
              <a:solidFill>
                <a:srgbClr val="2F6FE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A8F-4BD3-B379-09B578252FD8}"/>
              </c:ext>
            </c:extLst>
          </c:dPt>
          <c:dPt>
            <c:idx val="2"/>
            <c:bubble3D val="0"/>
            <c:spPr>
              <a:solidFill>
                <a:srgbClr val="EB575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A8F-4BD3-B379-09B578252FD8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A8F-4BD3-B379-09B578252FD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8F-4BD3-B379-09B578252FD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8F-4BD3-B379-09B578252FD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8F-4BD3-B379-09B578252FD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8F-4BD3-B379-09B578252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Model'!$E$3:$E$6</c:f>
              <c:strCache>
                <c:ptCount val="4"/>
                <c:pt idx="0">
                  <c:v>Completed</c:v>
                </c:pt>
                <c:pt idx="1">
                  <c:v>On Track</c:v>
                </c:pt>
                <c:pt idx="2">
                  <c:v>Behind</c:v>
                </c:pt>
                <c:pt idx="3">
                  <c:v>On Hold</c:v>
                </c:pt>
              </c:strCache>
            </c:strRef>
          </c:cat>
          <c:val>
            <c:numRef>
              <c:f>'Data Model'!$F$3:$F$6</c:f>
              <c:numCache>
                <c:formatCode>General</c:formatCode>
                <c:ptCount val="4"/>
                <c:pt idx="0">
                  <c:v>26</c:v>
                </c:pt>
                <c:pt idx="1">
                  <c:v>25</c:v>
                </c:pt>
                <c:pt idx="2">
                  <c:v>29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8F-4BD3-B379-09B578252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Model'!$F$9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709-488D-9B43-F85D262F3324}"/>
              </c:ext>
            </c:extLst>
          </c:dPt>
          <c:dPt>
            <c:idx val="1"/>
            <c:invertIfNegative val="0"/>
            <c:bubble3D val="0"/>
            <c:spPr>
              <a:solidFill>
                <a:srgbClr val="2D9CD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709-488D-9B43-F85D262F3324}"/>
              </c:ext>
            </c:extLst>
          </c:dPt>
          <c:dPt>
            <c:idx val="2"/>
            <c:invertIfNegative val="0"/>
            <c:bubble3D val="0"/>
            <c:spPr>
              <a:solidFill>
                <a:srgbClr val="F2C94C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709-488D-9B43-F85D262F332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09-488D-9B43-F85D262F332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09-488D-9B43-F85D262F332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09-488D-9B43-F85D262F3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Model'!$E$10:$E$12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'Data Model'!$F$10:$F$12</c:f>
              <c:numCache>
                <c:formatCode>General</c:formatCode>
                <c:ptCount val="3"/>
                <c:pt idx="0">
                  <c:v>87</c:v>
                </c:pt>
                <c:pt idx="1">
                  <c:v>106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09-488D-9B43-F85D262F3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16865"/>
        <c:axId val="80558635"/>
      </c:barChart>
      <c:catAx>
        <c:axId val="55168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58635"/>
        <c:crosses val="autoZero"/>
        <c:auto val="1"/>
        <c:lblAlgn val="ctr"/>
        <c:lblOffset val="100"/>
        <c:noMultiLvlLbl val="0"/>
      </c:catAx>
      <c:valAx>
        <c:axId val="805586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68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vs Actual Cost by Project Type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Model'!$J$11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000]&quot;$&quot;0.0,,&quot;M&quot;;[&gt;=1000]&quot;$&quot;0,&quot;K&quot;;&quot;$&quot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Model'!$I$12:$I$17</c:f>
              <c:strCache>
                <c:ptCount val="6"/>
                <c:pt idx="0">
                  <c:v>Renovation</c:v>
                </c:pt>
                <c:pt idx="1">
                  <c:v>Innovation</c:v>
                </c:pt>
                <c:pt idx="2">
                  <c:v>Construction</c:v>
                </c:pt>
                <c:pt idx="3">
                  <c:v>Infrastructure</c:v>
                </c:pt>
                <c:pt idx="4">
                  <c:v>Maintenance</c:v>
                </c:pt>
                <c:pt idx="5">
                  <c:v>Other</c:v>
                </c:pt>
              </c:strCache>
            </c:strRef>
          </c:cat>
          <c:val>
            <c:numRef>
              <c:f>'Data Model'!$J$12:$J$17</c:f>
              <c:numCache>
                <c:formatCode>\$#,##0</c:formatCode>
                <c:ptCount val="6"/>
                <c:pt idx="0">
                  <c:v>395361</c:v>
                </c:pt>
                <c:pt idx="1">
                  <c:v>115653</c:v>
                </c:pt>
                <c:pt idx="2">
                  <c:v>377893</c:v>
                </c:pt>
                <c:pt idx="3">
                  <c:v>125426</c:v>
                </c:pt>
                <c:pt idx="4">
                  <c:v>117868</c:v>
                </c:pt>
                <c:pt idx="5">
                  <c:v>555079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2-4B51-A01F-0CE43DC1B092}"/>
            </c:ext>
          </c:extLst>
        </c:ser>
        <c:ser>
          <c:idx val="1"/>
          <c:order val="1"/>
          <c:tx>
            <c:strRef>
              <c:f>'Data Model'!$K$11</c:f>
              <c:strCache>
                <c:ptCount val="1"/>
                <c:pt idx="0">
                  <c:v>Actual Cost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4851424681300045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12-4B51-A01F-0CE43DC1B092}"/>
                </c:ext>
              </c:extLst>
            </c:dLbl>
            <c:dLbl>
              <c:idx val="2"/>
              <c:layout>
                <c:manualLayout>
                  <c:x val="4.970284936259963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12-4B51-A01F-0CE43DC1B092}"/>
                </c:ext>
              </c:extLst>
            </c:dLbl>
            <c:dLbl>
              <c:idx val="3"/>
              <c:layout>
                <c:manualLayout>
                  <c:x val="7.4554274043899232E-3"/>
                  <c:y val="-8.570363756471360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12-4B51-A01F-0CE43DC1B092}"/>
                </c:ext>
              </c:extLst>
            </c:dLbl>
            <c:dLbl>
              <c:idx val="4"/>
              <c:layout>
                <c:manualLayout>
                  <c:x val="2.4851424681300045E-3"/>
                  <c:y val="4.67479787020617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12-4B51-A01F-0CE43DC1B092}"/>
                </c:ext>
              </c:extLst>
            </c:dLbl>
            <c:dLbl>
              <c:idx val="5"/>
              <c:layout>
                <c:manualLayout>
                  <c:x val="7.4554274043900142E-3"/>
                  <c:y val="-8.570363756471360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12-4B51-A01F-0CE43DC1B092}"/>
                </c:ext>
              </c:extLst>
            </c:dLbl>
            <c:numFmt formatCode="[&gt;=1000000]&quot;$&quot;0.0,,&quot;M&quot;;[&gt;=1000]&quot;$&quot;0,&quot;K&quot;;&quot;$&quot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Model'!$I$12:$I$17</c:f>
              <c:strCache>
                <c:ptCount val="6"/>
                <c:pt idx="0">
                  <c:v>Renovation</c:v>
                </c:pt>
                <c:pt idx="1">
                  <c:v>Innovation</c:v>
                </c:pt>
                <c:pt idx="2">
                  <c:v>Construction</c:v>
                </c:pt>
                <c:pt idx="3">
                  <c:v>Infrastructure</c:v>
                </c:pt>
                <c:pt idx="4">
                  <c:v>Maintenance</c:v>
                </c:pt>
                <c:pt idx="5">
                  <c:v>Other</c:v>
                </c:pt>
              </c:strCache>
            </c:strRef>
          </c:cat>
          <c:val>
            <c:numRef>
              <c:f>'Data Model'!$K$12:$K$17</c:f>
              <c:numCache>
                <c:formatCode>\$#,##0</c:formatCode>
                <c:ptCount val="6"/>
                <c:pt idx="0">
                  <c:v>121771</c:v>
                </c:pt>
                <c:pt idx="1">
                  <c:v>37593</c:v>
                </c:pt>
                <c:pt idx="2">
                  <c:v>124126</c:v>
                </c:pt>
                <c:pt idx="3">
                  <c:v>54186</c:v>
                </c:pt>
                <c:pt idx="4">
                  <c:v>35203</c:v>
                </c:pt>
                <c:pt idx="5">
                  <c:v>145542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2-4B51-A01F-0CE43DC1B0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10"/>
        <c:axId val="19716709"/>
        <c:axId val="87595057"/>
      </c:barChart>
      <c:catAx>
        <c:axId val="197167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87595057"/>
        <c:crosses val="autoZero"/>
        <c:auto val="1"/>
        <c:lblAlgn val="ctr"/>
        <c:lblOffset val="100"/>
        <c:noMultiLvlLbl val="0"/>
      </c:catAx>
      <c:valAx>
        <c:axId val="87595057"/>
        <c:scaling>
          <c:orientation val="minMax"/>
        </c:scaling>
        <c:delete val="0"/>
        <c:axPos val="l"/>
        <c:numFmt formatCode="[&gt;=1000000]&quot;$&quot;0.0,,&quot;M&quot;;[&gt;=1000]&quot;$&quot;0,&quot;K&quot;;&quot;$&quot;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9716709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b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Spend Trend (Actual vs Budget)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Model'!$N$2</c:f>
              <c:strCache>
                <c:ptCount val="1"/>
                <c:pt idx="0">
                  <c:v>Actual Cost</c:v>
                </c:pt>
              </c:strCache>
            </c:strRef>
          </c:tx>
          <c:spPr>
            <a:ln w="2808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Model'!$M$3:$M$23</c:f>
              <c:strCache>
                <c:ptCount val="21"/>
                <c:pt idx="0">
                  <c:v>Feb-24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</c:strCache>
            </c:strRef>
          </c:cat>
          <c:val>
            <c:numRef>
              <c:f>'Data Model'!$N$3:$N$23</c:f>
              <c:numCache>
                <c:formatCode>\$#,##0</c:formatCode>
                <c:ptCount val="21"/>
                <c:pt idx="0">
                  <c:v>27684</c:v>
                </c:pt>
                <c:pt idx="1">
                  <c:v>28256</c:v>
                </c:pt>
                <c:pt idx="2">
                  <c:v>46333</c:v>
                </c:pt>
                <c:pt idx="3">
                  <c:v>43446</c:v>
                </c:pt>
                <c:pt idx="4">
                  <c:v>51099</c:v>
                </c:pt>
                <c:pt idx="5">
                  <c:v>84350</c:v>
                </c:pt>
                <c:pt idx="6">
                  <c:v>69500</c:v>
                </c:pt>
                <c:pt idx="7">
                  <c:v>148399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6060</c:v>
                </c:pt>
                <c:pt idx="12">
                  <c:v>0</c:v>
                </c:pt>
                <c:pt idx="13">
                  <c:v>4190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9104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5-4950-9466-ECFFF779D414}"/>
            </c:ext>
          </c:extLst>
        </c:ser>
        <c:ser>
          <c:idx val="1"/>
          <c:order val="1"/>
          <c:tx>
            <c:strRef>
              <c:f>'Data Model'!$O$2</c:f>
              <c:strCache>
                <c:ptCount val="1"/>
                <c:pt idx="0">
                  <c:v>Budget</c:v>
                </c:pt>
              </c:strCache>
            </c:strRef>
          </c:tx>
          <c:spPr>
            <a:ln w="18000">
              <a:solidFill>
                <a:srgbClr val="8A98A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Model'!$M$3:$M$23</c:f>
              <c:strCache>
                <c:ptCount val="21"/>
                <c:pt idx="0">
                  <c:v>Feb-24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</c:strCache>
            </c:strRef>
          </c:cat>
          <c:val>
            <c:numRef>
              <c:f>'Data Model'!$O$3:$O$23</c:f>
              <c:numCache>
                <c:formatCode>\$#,##0</c:formatCode>
                <c:ptCount val="21"/>
                <c:pt idx="0">
                  <c:v>38961</c:v>
                </c:pt>
                <c:pt idx="1">
                  <c:v>75357</c:v>
                </c:pt>
                <c:pt idx="2">
                  <c:v>64913</c:v>
                </c:pt>
                <c:pt idx="3">
                  <c:v>73704</c:v>
                </c:pt>
                <c:pt idx="4">
                  <c:v>98719</c:v>
                </c:pt>
                <c:pt idx="5">
                  <c:v>209148</c:v>
                </c:pt>
                <c:pt idx="6">
                  <c:v>182429</c:v>
                </c:pt>
                <c:pt idx="7">
                  <c:v>205771</c:v>
                </c:pt>
                <c:pt idx="8">
                  <c:v>60842</c:v>
                </c:pt>
                <c:pt idx="9">
                  <c:v>82297</c:v>
                </c:pt>
                <c:pt idx="10">
                  <c:v>114337</c:v>
                </c:pt>
                <c:pt idx="11">
                  <c:v>61154</c:v>
                </c:pt>
                <c:pt idx="12">
                  <c:v>50053</c:v>
                </c:pt>
                <c:pt idx="13">
                  <c:v>92373</c:v>
                </c:pt>
                <c:pt idx="14">
                  <c:v>72955</c:v>
                </c:pt>
                <c:pt idx="15">
                  <c:v>40492</c:v>
                </c:pt>
                <c:pt idx="16">
                  <c:v>60409</c:v>
                </c:pt>
                <c:pt idx="17">
                  <c:v>25019</c:v>
                </c:pt>
                <c:pt idx="18">
                  <c:v>24450</c:v>
                </c:pt>
                <c:pt idx="19">
                  <c:v>37117</c:v>
                </c:pt>
                <c:pt idx="20">
                  <c:v>16780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5-4950-9466-ECFFF779D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985626"/>
        <c:axId val="57980125"/>
      </c:lineChart>
      <c:catAx>
        <c:axId val="319856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80125"/>
        <c:crosses val="autoZero"/>
        <c:auto val="1"/>
        <c:lblAlgn val="ctr"/>
        <c:lblOffset val="100"/>
        <c:noMultiLvlLbl val="0"/>
      </c:catAx>
      <c:valAx>
        <c:axId val="57980125"/>
        <c:scaling>
          <c:orientation val="minMax"/>
        </c:scaling>
        <c:delete val="0"/>
        <c:axPos val="l"/>
        <c:numFmt formatCode="[&gt;=1000000]&quot;$&quot;0.0,,&quot;M&quot;;[&gt;=1000]&quot;$&quot;0,&quot;K&quot;;&quot;$&quot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9856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Team Workload — Hours Logged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Model'!$S$2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7EC234"/>
            </a:solidFill>
            <a:ln w="0">
              <a:noFill/>
            </a:ln>
          </c:spPr>
          <c:invertIfNegative val="0"/>
          <c:dLbls>
            <c:numFmt formatCode="#,##0\ &quot;H&quot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Model'!$Q$3:$Q$10</c:f>
              <c:strCache>
                <c:ptCount val="8"/>
                <c:pt idx="0">
                  <c:v>Frank</c:v>
                </c:pt>
                <c:pt idx="1">
                  <c:v>David</c:v>
                </c:pt>
                <c:pt idx="2">
                  <c:v>Bob</c:v>
                </c:pt>
                <c:pt idx="3">
                  <c:v>Ivy</c:v>
                </c:pt>
                <c:pt idx="4">
                  <c:v>Grace</c:v>
                </c:pt>
                <c:pt idx="5">
                  <c:v>Eve</c:v>
                </c:pt>
                <c:pt idx="6">
                  <c:v>Alice</c:v>
                </c:pt>
                <c:pt idx="7">
                  <c:v>Charlie</c:v>
                </c:pt>
              </c:strCache>
            </c:strRef>
          </c:cat>
          <c:val>
            <c:numRef>
              <c:f>'Data Model'!$S$3:$S$10</c:f>
              <c:numCache>
                <c:formatCode>General</c:formatCode>
                <c:ptCount val="8"/>
                <c:pt idx="0">
                  <c:v>337</c:v>
                </c:pt>
                <c:pt idx="1">
                  <c:v>436</c:v>
                </c:pt>
                <c:pt idx="2">
                  <c:v>473</c:v>
                </c:pt>
                <c:pt idx="3">
                  <c:v>608</c:v>
                </c:pt>
                <c:pt idx="4">
                  <c:v>721</c:v>
                </c:pt>
                <c:pt idx="5">
                  <c:v>884</c:v>
                </c:pt>
                <c:pt idx="6">
                  <c:v>1060</c:v>
                </c:pt>
                <c:pt idx="7">
                  <c:v>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E-4F7F-898A-E5AF57F1D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3871890"/>
        <c:axId val="12964328"/>
      </c:barChart>
      <c:catAx>
        <c:axId val="838718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64328"/>
        <c:crosses val="autoZero"/>
        <c:auto val="1"/>
        <c:lblAlgn val="ctr"/>
        <c:lblOffset val="100"/>
        <c:noMultiLvlLbl val="0"/>
      </c:catAx>
      <c:valAx>
        <c:axId val="1296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71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Actual Cost by Location (Top States)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 w="0">
              <a:noFill/>
            </a:ln>
          </c:spPr>
          <c:invertIfNegative val="0"/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Model'!$V$3:$V$15</c:f>
              <c:strCache>
                <c:ptCount val="13"/>
                <c:pt idx="0">
                  <c:v>Florida</c:v>
                </c:pt>
                <c:pt idx="1">
                  <c:v>Washington</c:v>
                </c:pt>
                <c:pt idx="2">
                  <c:v>North Carolina</c:v>
                </c:pt>
                <c:pt idx="3">
                  <c:v>California</c:v>
                </c:pt>
                <c:pt idx="4">
                  <c:v>New Jersey</c:v>
                </c:pt>
                <c:pt idx="5">
                  <c:v>New York</c:v>
                </c:pt>
                <c:pt idx="6">
                  <c:v>Georgia</c:v>
                </c:pt>
                <c:pt idx="7">
                  <c:v>Ohio</c:v>
                </c:pt>
                <c:pt idx="8">
                  <c:v>Texas</c:v>
                </c:pt>
                <c:pt idx="9">
                  <c:v>Illinois</c:v>
                </c:pt>
                <c:pt idx="10">
                  <c:v>Pennsylvania</c:v>
                </c:pt>
                <c:pt idx="11">
                  <c:v>Michigan</c:v>
                </c:pt>
                <c:pt idx="12">
                  <c:v>Virginia</c:v>
                </c:pt>
              </c:strCache>
            </c:strRef>
          </c:cat>
          <c:val>
            <c:numRef>
              <c:f>'Data Model'!$W$3:$W$15</c:f>
              <c:numCache>
                <c:formatCode>\$#,##0</c:formatCode>
                <c:ptCount val="13"/>
                <c:pt idx="0">
                  <c:v>20954</c:v>
                </c:pt>
                <c:pt idx="1">
                  <c:v>21153</c:v>
                </c:pt>
                <c:pt idx="2">
                  <c:v>22793</c:v>
                </c:pt>
                <c:pt idx="3">
                  <c:v>27162</c:v>
                </c:pt>
                <c:pt idx="4">
                  <c:v>32681</c:v>
                </c:pt>
                <c:pt idx="5">
                  <c:v>33397</c:v>
                </c:pt>
                <c:pt idx="6">
                  <c:v>38636</c:v>
                </c:pt>
                <c:pt idx="7">
                  <c:v>38934</c:v>
                </c:pt>
                <c:pt idx="8">
                  <c:v>40831</c:v>
                </c:pt>
                <c:pt idx="9">
                  <c:v>42351</c:v>
                </c:pt>
                <c:pt idx="10">
                  <c:v>61894</c:v>
                </c:pt>
                <c:pt idx="11">
                  <c:v>65520</c:v>
                </c:pt>
                <c:pt idx="12">
                  <c:v>72115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70-4A23-BCB8-41B3F0E6A7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263216"/>
        <c:axId val="47988980"/>
      </c:barChart>
      <c:catAx>
        <c:axId val="6263216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988980"/>
        <c:crosses val="autoZero"/>
        <c:auto val="1"/>
        <c:lblAlgn val="ctr"/>
        <c:lblOffset val="100"/>
        <c:noMultiLvlLbl val="0"/>
      </c:catAx>
      <c:valAx>
        <c:axId val="47988980"/>
        <c:scaling>
          <c:orientation val="minMax"/>
        </c:scaling>
        <c:delete val="0"/>
        <c:axPos val="b"/>
        <c:numFmt formatCode="&quot;$&quot;#,##0,&quot;K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63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Priority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'Data Model'!$F$15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EB5757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7DC-48CD-9914-C35A203D11A7}"/>
              </c:ext>
            </c:extLst>
          </c:dPt>
          <c:dPt>
            <c:idx val="1"/>
            <c:bubble3D val="0"/>
            <c:spPr>
              <a:solidFill>
                <a:srgbClr val="F2994A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7DC-48CD-9914-C35A203D11A7}"/>
              </c:ext>
            </c:extLst>
          </c:dPt>
          <c:dPt>
            <c:idx val="2"/>
            <c:bubble3D val="0"/>
            <c:spPr>
              <a:solidFill>
                <a:srgbClr val="27AE60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7DC-48CD-9914-C35A203D11A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DC-48CD-9914-C35A203D11A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DC-48CD-9914-C35A203D11A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bg1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DC-48CD-9914-C35A203D11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'Data Model'!$E$16:$E$18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'Data Model'!$F$16:$F$18</c:f>
              <c:numCache>
                <c:formatCode>General</c:formatCode>
                <c:ptCount val="3"/>
                <c:pt idx="0">
                  <c:v>156</c:v>
                </c:pt>
                <c:pt idx="1">
                  <c:v>91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DC-48CD-9914-C35A203D1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Progress by Project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Model'!$J$20</c:f>
              <c:strCache>
                <c:ptCount val="1"/>
                <c:pt idx="0">
                  <c:v>Avg Progress</c:v>
                </c:pt>
              </c:strCache>
            </c:strRef>
          </c:tx>
          <c:spPr>
            <a:solidFill>
              <a:srgbClr val="0099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Model'!$I$21:$I$26</c:f>
              <c:strCache>
                <c:ptCount val="6"/>
                <c:pt idx="0">
                  <c:v>Renovation</c:v>
                </c:pt>
                <c:pt idx="1">
                  <c:v>Innovation</c:v>
                </c:pt>
                <c:pt idx="2">
                  <c:v>Construction</c:v>
                </c:pt>
                <c:pt idx="3">
                  <c:v>Infrastructure</c:v>
                </c:pt>
                <c:pt idx="4">
                  <c:v>Maintenance</c:v>
                </c:pt>
                <c:pt idx="5">
                  <c:v>Other</c:v>
                </c:pt>
              </c:strCache>
            </c:strRef>
          </c:cat>
          <c:val>
            <c:numRef>
              <c:f>'Data Model'!$J$21:$J$26</c:f>
              <c:numCache>
                <c:formatCode>0.0%</c:formatCode>
                <c:ptCount val="6"/>
                <c:pt idx="0">
                  <c:v>0.59897435897435891</c:v>
                </c:pt>
                <c:pt idx="1">
                  <c:v>0.62523809523809526</c:v>
                </c:pt>
                <c:pt idx="2">
                  <c:v>0.68033333333333323</c:v>
                </c:pt>
                <c:pt idx="3">
                  <c:v>0.69238095238095221</c:v>
                </c:pt>
                <c:pt idx="4">
                  <c:v>0.69428571428571428</c:v>
                </c:pt>
                <c:pt idx="5">
                  <c:v>0.61646464646464638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E-42C0-8379-E0126ED4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119221"/>
        <c:axId val="89259077"/>
      </c:barChart>
      <c:catAx>
        <c:axId val="55119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59077"/>
        <c:crosses val="autoZero"/>
        <c:auto val="1"/>
        <c:lblAlgn val="ctr"/>
        <c:lblOffset val="100"/>
        <c:noMultiLvlLbl val="0"/>
      </c:catAx>
      <c:valAx>
        <c:axId val="8925907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19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Segments - Progress vs Budget (size = 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ubbleChart>
        <c:varyColors val="0"/>
        <c:ser>
          <c:idx val="0"/>
          <c:order val="0"/>
          <c:tx>
            <c:v>Renovation</c:v>
          </c:tx>
          <c:spPr>
            <a:solidFill>
              <a:srgbClr val="2F6FED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'[1]Data Model'!$P$32</c:f>
              <c:numCache>
                <c:formatCode>General</c:formatCode>
                <c:ptCount val="1"/>
                <c:pt idx="0">
                  <c:v>0.59897435897435891</c:v>
                </c:pt>
              </c:numCache>
            </c:numRef>
          </c:xVal>
          <c:yVal>
            <c:numRef>
              <c:f>'[1]Data Model'!$Q$32</c:f>
              <c:numCache>
                <c:formatCode>General</c:formatCode>
                <c:ptCount val="1"/>
                <c:pt idx="0">
                  <c:v>395361</c:v>
                </c:pt>
              </c:numCache>
            </c:numRef>
          </c:yVal>
          <c:bubbleSize>
            <c:numRef>
              <c:f>'[1]Data Model'!$R$32</c:f>
              <c:numCache>
                <c:formatCode>General</c:formatCode>
                <c:ptCount val="1"/>
                <c:pt idx="0">
                  <c:v>1600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227-4688-B918-FB63DEFA5C32}"/>
            </c:ext>
          </c:extLst>
        </c:ser>
        <c:ser>
          <c:idx val="1"/>
          <c:order val="1"/>
          <c:tx>
            <c:v>Innovation</c:v>
          </c:tx>
          <c:spPr>
            <a:solidFill>
              <a:srgbClr val="6C5CE7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'[1]Data Model'!$P$33</c:f>
              <c:numCache>
                <c:formatCode>General</c:formatCode>
                <c:ptCount val="1"/>
                <c:pt idx="0">
                  <c:v>0.62523809523809526</c:v>
                </c:pt>
              </c:numCache>
            </c:numRef>
          </c:xVal>
          <c:yVal>
            <c:numRef>
              <c:f>'[1]Data Model'!$Q$33</c:f>
              <c:numCache>
                <c:formatCode>General</c:formatCode>
                <c:ptCount val="1"/>
                <c:pt idx="0">
                  <c:v>115653</c:v>
                </c:pt>
              </c:numCache>
            </c:numRef>
          </c:yVal>
          <c:bubbleSize>
            <c:numRef>
              <c:f>'[1]Data Model'!$R$33</c:f>
              <c:numCache>
                <c:formatCode>General</c:formatCode>
                <c:ptCount val="1"/>
                <c:pt idx="0">
                  <c:v>450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4227-4688-B918-FB63DEFA5C32}"/>
            </c:ext>
          </c:extLst>
        </c:ser>
        <c:ser>
          <c:idx val="2"/>
          <c:order val="2"/>
          <c:tx>
            <c:v>Construction</c:v>
          </c:tx>
          <c:spPr>
            <a:solidFill>
              <a:srgbClr val="0E8C7A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'[1]Data Model'!$P$34</c:f>
              <c:numCache>
                <c:formatCode>General</c:formatCode>
                <c:ptCount val="1"/>
                <c:pt idx="0">
                  <c:v>0.68033333333333323</c:v>
                </c:pt>
              </c:numCache>
            </c:numRef>
          </c:xVal>
          <c:yVal>
            <c:numRef>
              <c:f>'[1]Data Model'!$Q$34</c:f>
              <c:numCache>
                <c:formatCode>General</c:formatCode>
                <c:ptCount val="1"/>
                <c:pt idx="0">
                  <c:v>377893</c:v>
                </c:pt>
              </c:numCache>
            </c:numRef>
          </c:yVal>
          <c:bubbleSize>
            <c:numRef>
              <c:f>'[1]Data Model'!$R$34</c:f>
              <c:numCache>
                <c:formatCode>General</c:formatCode>
                <c:ptCount val="1"/>
                <c:pt idx="0">
                  <c:v>1089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4227-4688-B918-FB63DEFA5C32}"/>
            </c:ext>
          </c:extLst>
        </c:ser>
        <c:ser>
          <c:idx val="3"/>
          <c:order val="3"/>
          <c:tx>
            <c:v>Infrastructure</c:v>
          </c:tx>
          <c:spPr>
            <a:solidFill>
              <a:srgbClr val="F2994A"/>
            </a:solidFill>
            <a:ln w="0">
              <a:solidFill>
                <a:srgbClr val="FFFFFF"/>
              </a:solidFill>
            </a:ln>
          </c:spPr>
          <c:invertIfNegative val="0"/>
          <c:dLbls>
            <c:dLbl>
              <c:idx val="0"/>
              <c:layout>
                <c:manualLayout>
                  <c:x val="-7.621808285715076E-2"/>
                  <c:y val="-2.2973917821828838E-2"/>
                </c:manualLayout>
              </c:layout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27-4688-B918-FB63DEFA5C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'[1]Data Model'!$P$35</c:f>
              <c:numCache>
                <c:formatCode>General</c:formatCode>
                <c:ptCount val="1"/>
                <c:pt idx="0">
                  <c:v>0.69238095238095221</c:v>
                </c:pt>
              </c:numCache>
            </c:numRef>
          </c:xVal>
          <c:yVal>
            <c:numRef>
              <c:f>'[1]Data Model'!$Q$35</c:f>
              <c:numCache>
                <c:formatCode>General</c:formatCode>
                <c:ptCount val="1"/>
                <c:pt idx="0">
                  <c:v>125426</c:v>
                </c:pt>
              </c:numCache>
            </c:numRef>
          </c:yVal>
          <c:bubbleSize>
            <c:numRef>
              <c:f>'[1]Data Model'!$R$35</c:f>
              <c:numCache>
                <c:formatCode>General</c:formatCode>
                <c:ptCount val="1"/>
                <c:pt idx="0">
                  <c:v>436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4227-4688-B918-FB63DEFA5C32}"/>
            </c:ext>
          </c:extLst>
        </c:ser>
        <c:ser>
          <c:idx val="4"/>
          <c:order val="4"/>
          <c:tx>
            <c:v>Maintenance</c:v>
          </c:tx>
          <c:spPr>
            <a:solidFill>
              <a:srgbClr val="27AE60"/>
            </a:solidFill>
            <a:ln w="0">
              <a:solidFill>
                <a:srgbClr val="FFFFFF"/>
              </a:solidFill>
            </a:ln>
          </c:spPr>
          <c:invertIfNegative val="0"/>
          <c:dLbls>
            <c:dLbl>
              <c:idx val="0"/>
              <c:layout>
                <c:manualLayout>
                  <c:x val="-3.6982248520710057E-3"/>
                  <c:y val="1.3368983957219251E-2"/>
                </c:manualLayout>
              </c:layout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27-4688-B918-FB63DEFA5C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'[1]Data Model'!$P$36</c:f>
              <c:numCache>
                <c:formatCode>General</c:formatCode>
                <c:ptCount val="1"/>
                <c:pt idx="0">
                  <c:v>0.69428571428571428</c:v>
                </c:pt>
              </c:numCache>
            </c:numRef>
          </c:xVal>
          <c:yVal>
            <c:numRef>
              <c:f>'[1]Data Model'!$Q$36</c:f>
              <c:numCache>
                <c:formatCode>General</c:formatCode>
                <c:ptCount val="1"/>
                <c:pt idx="0">
                  <c:v>117868</c:v>
                </c:pt>
              </c:numCache>
            </c:numRef>
          </c:yVal>
          <c:bubbleSize>
            <c:numRef>
              <c:f>'[1]Data Model'!$R$36</c:f>
              <c:numCache>
                <c:formatCode>General</c:formatCode>
                <c:ptCount val="1"/>
                <c:pt idx="0">
                  <c:v>454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4227-4688-B918-FB63DEFA5C32}"/>
            </c:ext>
          </c:extLst>
        </c:ser>
        <c:ser>
          <c:idx val="5"/>
          <c:order val="5"/>
          <c:tx>
            <c:v>Other</c:v>
          </c:tx>
          <c:spPr>
            <a:solidFill>
              <a:srgbClr val="2D9CDB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'[1]Data Model'!$P$37</c:f>
              <c:numCache>
                <c:formatCode>General</c:formatCode>
                <c:ptCount val="1"/>
                <c:pt idx="0">
                  <c:v>0.61646464646464638</c:v>
                </c:pt>
              </c:numCache>
            </c:numRef>
          </c:xVal>
          <c:yVal>
            <c:numRef>
              <c:f>'[1]Data Model'!$Q$37</c:f>
              <c:numCache>
                <c:formatCode>General</c:formatCode>
                <c:ptCount val="1"/>
                <c:pt idx="0">
                  <c:v>555079</c:v>
                </c:pt>
              </c:numCache>
            </c:numRef>
          </c:yVal>
          <c:bubbleSize>
            <c:numRef>
              <c:f>'[1]Data Model'!$R$37</c:f>
              <c:numCache>
                <c:formatCode>General</c:formatCode>
                <c:ptCount val="1"/>
                <c:pt idx="0">
                  <c:v>1734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4227-4688-B918-FB63DEFA5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6717194"/>
        <c:axId val="43229334"/>
      </c:bubbleChart>
      <c:valAx>
        <c:axId val="6717194"/>
        <c:scaling>
          <c:orientation val="minMax"/>
          <c:max val="0.72"/>
          <c:min val="0.55000000000000004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Progress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29334"/>
        <c:crosses val="autoZero"/>
        <c:crossBetween val="midCat"/>
      </c:valAx>
      <c:valAx>
        <c:axId val="43229334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Budget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gt;=1000000]&quot;$&quot;0.0,,&quot;M&quot;;[&gt;=1000]&quot;$&quot;0,&quot;K&quot;;&quot;$&quot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719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Cumulative Spend S-Curve (Actual vs Budget)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'[1]Data Model'!$G$31</c:f>
              <c:strCache>
                <c:ptCount val="1"/>
                <c:pt idx="0">
                  <c:v>Cum Actual</c:v>
                </c:pt>
              </c:strCache>
            </c:strRef>
          </c:tx>
          <c:spPr>
            <a:ln w="2988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Model'!$E$32:$E$52</c:f>
              <c:strCache>
                <c:ptCount val="21"/>
                <c:pt idx="0">
                  <c:v>Feb-24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</c:strCache>
            </c:strRef>
          </c:cat>
          <c:val>
            <c:numRef>
              <c:f>'[1]Data Model'!$G$32:$G$52</c:f>
              <c:numCache>
                <c:formatCode>General</c:formatCode>
                <c:ptCount val="21"/>
                <c:pt idx="0">
                  <c:v>27684</c:v>
                </c:pt>
                <c:pt idx="1">
                  <c:v>55940</c:v>
                </c:pt>
                <c:pt idx="2">
                  <c:v>102273</c:v>
                </c:pt>
                <c:pt idx="3">
                  <c:v>145719</c:v>
                </c:pt>
                <c:pt idx="4">
                  <c:v>196818</c:v>
                </c:pt>
                <c:pt idx="5">
                  <c:v>281168</c:v>
                </c:pt>
                <c:pt idx="6">
                  <c:v>350668</c:v>
                </c:pt>
                <c:pt idx="7">
                  <c:v>499067</c:v>
                </c:pt>
                <c:pt idx="8">
                  <c:v>499067</c:v>
                </c:pt>
                <c:pt idx="9">
                  <c:v>499067</c:v>
                </c:pt>
                <c:pt idx="10">
                  <c:v>499067</c:v>
                </c:pt>
                <c:pt idx="11">
                  <c:v>505127</c:v>
                </c:pt>
                <c:pt idx="12">
                  <c:v>505127</c:v>
                </c:pt>
                <c:pt idx="13">
                  <c:v>509317</c:v>
                </c:pt>
                <c:pt idx="14">
                  <c:v>509317</c:v>
                </c:pt>
                <c:pt idx="15">
                  <c:v>509317</c:v>
                </c:pt>
                <c:pt idx="16">
                  <c:v>509317</c:v>
                </c:pt>
                <c:pt idx="17">
                  <c:v>518421</c:v>
                </c:pt>
                <c:pt idx="18">
                  <c:v>518421</c:v>
                </c:pt>
                <c:pt idx="19">
                  <c:v>518421</c:v>
                </c:pt>
                <c:pt idx="20">
                  <c:v>518421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D-4034-9265-C74FB4E15DB9}"/>
            </c:ext>
          </c:extLst>
        </c:ser>
        <c:ser>
          <c:idx val="1"/>
          <c:order val="1"/>
          <c:tx>
            <c:strRef>
              <c:f>'[1]Data Model'!$I$31</c:f>
              <c:strCache>
                <c:ptCount val="1"/>
                <c:pt idx="0">
                  <c:v>Cum Budget</c:v>
                </c:pt>
              </c:strCache>
            </c:strRef>
          </c:tx>
          <c:spPr>
            <a:ln w="21960">
              <a:solidFill>
                <a:srgbClr val="8A98A8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Model'!$E$32:$E$52</c:f>
              <c:strCache>
                <c:ptCount val="21"/>
                <c:pt idx="0">
                  <c:v>Feb-24</c:v>
                </c:pt>
                <c:pt idx="1">
                  <c:v>Mar-24</c:v>
                </c:pt>
                <c:pt idx="2">
                  <c:v>Apr-24</c:v>
                </c:pt>
                <c:pt idx="3">
                  <c:v>May-24</c:v>
                </c:pt>
                <c:pt idx="4">
                  <c:v>Jun-24</c:v>
                </c:pt>
                <c:pt idx="5">
                  <c:v>Jul-24</c:v>
                </c:pt>
                <c:pt idx="6">
                  <c:v>Aug-24</c:v>
                </c:pt>
                <c:pt idx="7">
                  <c:v>Sep-24</c:v>
                </c:pt>
                <c:pt idx="8">
                  <c:v>Oct-24</c:v>
                </c:pt>
                <c:pt idx="9">
                  <c:v>Nov-24</c:v>
                </c:pt>
                <c:pt idx="10">
                  <c:v>Dec-24</c:v>
                </c:pt>
                <c:pt idx="11">
                  <c:v>Jan-25</c:v>
                </c:pt>
                <c:pt idx="12">
                  <c:v>Feb-25</c:v>
                </c:pt>
                <c:pt idx="13">
                  <c:v>Mar-25</c:v>
                </c:pt>
                <c:pt idx="14">
                  <c:v>Apr-25</c:v>
                </c:pt>
                <c:pt idx="15">
                  <c:v>May-25</c:v>
                </c:pt>
                <c:pt idx="16">
                  <c:v>Jun-25</c:v>
                </c:pt>
                <c:pt idx="17">
                  <c:v>Jul-25</c:v>
                </c:pt>
                <c:pt idx="18">
                  <c:v>Aug-25</c:v>
                </c:pt>
                <c:pt idx="19">
                  <c:v>Sep-25</c:v>
                </c:pt>
                <c:pt idx="20">
                  <c:v>Oct-25</c:v>
                </c:pt>
              </c:strCache>
            </c:strRef>
          </c:cat>
          <c:val>
            <c:numRef>
              <c:f>'[1]Data Model'!$I$32:$I$52</c:f>
              <c:numCache>
                <c:formatCode>General</c:formatCode>
                <c:ptCount val="21"/>
                <c:pt idx="0">
                  <c:v>38961</c:v>
                </c:pt>
                <c:pt idx="1">
                  <c:v>114318</c:v>
                </c:pt>
                <c:pt idx="2">
                  <c:v>179231</c:v>
                </c:pt>
                <c:pt idx="3">
                  <c:v>252935</c:v>
                </c:pt>
                <c:pt idx="4">
                  <c:v>351654</c:v>
                </c:pt>
                <c:pt idx="5">
                  <c:v>560802</c:v>
                </c:pt>
                <c:pt idx="6">
                  <c:v>743231</c:v>
                </c:pt>
                <c:pt idx="7">
                  <c:v>949002</c:v>
                </c:pt>
                <c:pt idx="8">
                  <c:v>1009844</c:v>
                </c:pt>
                <c:pt idx="9">
                  <c:v>1092141</c:v>
                </c:pt>
                <c:pt idx="10">
                  <c:v>1206478</c:v>
                </c:pt>
                <c:pt idx="11">
                  <c:v>1267632</c:v>
                </c:pt>
                <c:pt idx="12">
                  <c:v>1317685</c:v>
                </c:pt>
                <c:pt idx="13">
                  <c:v>1410058</c:v>
                </c:pt>
                <c:pt idx="14">
                  <c:v>1483013</c:v>
                </c:pt>
                <c:pt idx="15">
                  <c:v>1523505</c:v>
                </c:pt>
                <c:pt idx="16">
                  <c:v>1583914</c:v>
                </c:pt>
                <c:pt idx="17">
                  <c:v>1608933</c:v>
                </c:pt>
                <c:pt idx="18">
                  <c:v>1633383</c:v>
                </c:pt>
                <c:pt idx="19">
                  <c:v>1670500</c:v>
                </c:pt>
                <c:pt idx="20">
                  <c:v>1687280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D-4034-9265-C74FB4E15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816581"/>
        <c:axId val="85352970"/>
      </c:lineChart>
      <c:catAx>
        <c:axId val="46816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52970"/>
        <c:crosses val="autoZero"/>
        <c:auto val="1"/>
        <c:lblAlgn val="ctr"/>
        <c:lblOffset val="100"/>
        <c:noMultiLvlLbl val="0"/>
      </c:catAx>
      <c:valAx>
        <c:axId val="85352970"/>
        <c:scaling>
          <c:orientation val="minMax"/>
        </c:scaling>
        <c:delete val="0"/>
        <c:axPos val="l"/>
        <c:numFmt formatCode="[&gt;=1000000]&quot;$&quot;0.0,,&quot;M&quot;;[&gt;=1000]&quot;$&quot;0,&quot;K&quot;;&quot;$&quot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165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Pareto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'[1]Data Model'!$L$31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2D9CD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Model'!$K$32:$K$44</c:f>
              <c:strCache>
                <c:ptCount val="13"/>
                <c:pt idx="0">
                  <c:v>Virginia</c:v>
                </c:pt>
                <c:pt idx="1">
                  <c:v>Michigan</c:v>
                </c:pt>
                <c:pt idx="2">
                  <c:v>Texas</c:v>
                </c:pt>
                <c:pt idx="3">
                  <c:v>Georgia</c:v>
                </c:pt>
                <c:pt idx="4">
                  <c:v>Illinois</c:v>
                </c:pt>
                <c:pt idx="5">
                  <c:v>Ohio</c:v>
                </c:pt>
                <c:pt idx="6">
                  <c:v>California</c:v>
                </c:pt>
                <c:pt idx="7">
                  <c:v>Pennsylvania</c:v>
                </c:pt>
                <c:pt idx="8">
                  <c:v>New Jersey</c:v>
                </c:pt>
                <c:pt idx="9">
                  <c:v>New York</c:v>
                </c:pt>
                <c:pt idx="10">
                  <c:v>North Carolina</c:v>
                </c:pt>
                <c:pt idx="11">
                  <c:v>Florida</c:v>
                </c:pt>
                <c:pt idx="12">
                  <c:v>Washington</c:v>
                </c:pt>
              </c:strCache>
            </c:strRef>
          </c:cat>
          <c:val>
            <c:numRef>
              <c:f>'[1]Data Model'!$L$32:$L$44</c:f>
              <c:numCache>
                <c:formatCode>General</c:formatCode>
                <c:ptCount val="13"/>
                <c:pt idx="0">
                  <c:v>185811</c:v>
                </c:pt>
                <c:pt idx="1">
                  <c:v>150533</c:v>
                </c:pt>
                <c:pt idx="2">
                  <c:v>145497</c:v>
                </c:pt>
                <c:pt idx="3">
                  <c:v>143498</c:v>
                </c:pt>
                <c:pt idx="4">
                  <c:v>135609</c:v>
                </c:pt>
                <c:pt idx="5">
                  <c:v>134056</c:v>
                </c:pt>
                <c:pt idx="6">
                  <c:v>132003</c:v>
                </c:pt>
                <c:pt idx="7">
                  <c:v>127153</c:v>
                </c:pt>
                <c:pt idx="8">
                  <c:v>117417</c:v>
                </c:pt>
                <c:pt idx="9">
                  <c:v>116224</c:v>
                </c:pt>
                <c:pt idx="10">
                  <c:v>110002</c:v>
                </c:pt>
                <c:pt idx="11">
                  <c:v>103354</c:v>
                </c:pt>
                <c:pt idx="12">
                  <c:v>86123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E-4CC9-A5B1-C550C5A45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378971"/>
        <c:axId val="82056482"/>
      </c:barChart>
      <c:lineChart>
        <c:grouping val="standard"/>
        <c:varyColors val="0"/>
        <c:ser>
          <c:idx val="1"/>
          <c:order val="1"/>
          <c:tx>
            <c:strRef>
              <c:f>'[1]Data Model'!$M$31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4120">
              <a:solidFill>
                <a:srgbClr val="EB5757"/>
              </a:solidFill>
              <a:round/>
            </a:ln>
          </c:spPr>
          <c:marker>
            <c:symbol val="circle"/>
            <c:size val="4"/>
            <c:spPr>
              <a:solidFill>
                <a:srgbClr val="EB575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Model'!$K$32:$K$44</c:f>
              <c:strCache>
                <c:ptCount val="13"/>
                <c:pt idx="0">
                  <c:v>Virginia</c:v>
                </c:pt>
                <c:pt idx="1">
                  <c:v>Michigan</c:v>
                </c:pt>
                <c:pt idx="2">
                  <c:v>Texas</c:v>
                </c:pt>
                <c:pt idx="3">
                  <c:v>Georgia</c:v>
                </c:pt>
                <c:pt idx="4">
                  <c:v>Illinois</c:v>
                </c:pt>
                <c:pt idx="5">
                  <c:v>Ohio</c:v>
                </c:pt>
                <c:pt idx="6">
                  <c:v>California</c:v>
                </c:pt>
                <c:pt idx="7">
                  <c:v>Pennsylvania</c:v>
                </c:pt>
                <c:pt idx="8">
                  <c:v>New Jersey</c:v>
                </c:pt>
                <c:pt idx="9">
                  <c:v>New York</c:v>
                </c:pt>
                <c:pt idx="10">
                  <c:v>North Carolina</c:v>
                </c:pt>
                <c:pt idx="11">
                  <c:v>Florida</c:v>
                </c:pt>
                <c:pt idx="12">
                  <c:v>Washington</c:v>
                </c:pt>
              </c:strCache>
            </c:strRef>
          </c:cat>
          <c:val>
            <c:numRef>
              <c:f>'[1]Data Model'!$M$32:$M$44</c:f>
              <c:numCache>
                <c:formatCode>General</c:formatCode>
                <c:ptCount val="13"/>
                <c:pt idx="0">
                  <c:v>0.11012457920439998</c:v>
                </c:pt>
                <c:pt idx="1">
                  <c:v>0.19934095111659</c:v>
                </c:pt>
                <c:pt idx="2">
                  <c:v>0.28557263761794133</c:v>
                </c:pt>
                <c:pt idx="3">
                  <c:v>0.37061957707078846</c:v>
                </c:pt>
                <c:pt idx="4">
                  <c:v>0.4509909440045517</c:v>
                </c:pt>
                <c:pt idx="5">
                  <c:v>0.53044189464700586</c:v>
                </c:pt>
                <c:pt idx="6">
                  <c:v>0.60867609406856005</c:v>
                </c:pt>
                <c:pt idx="7">
                  <c:v>0.68403584467308332</c:v>
                </c:pt>
                <c:pt idx="8">
                  <c:v>0.75362536152861415</c:v>
                </c:pt>
                <c:pt idx="9">
                  <c:v>0.82250782324214122</c:v>
                </c:pt>
                <c:pt idx="10">
                  <c:v>0.88770269309184013</c:v>
                </c:pt>
                <c:pt idx="11">
                  <c:v>0.94895749371769944</c:v>
                </c:pt>
                <c:pt idx="1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8E-4CC9-A5B1-C550C5A45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52500"/>
        <c:axId val="42808103"/>
      </c:lineChart>
      <c:catAx>
        <c:axId val="5378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56482"/>
        <c:crosses val="autoZero"/>
        <c:auto val="1"/>
        <c:lblAlgn val="ctr"/>
        <c:lblOffset val="100"/>
        <c:noMultiLvlLbl val="0"/>
      </c:catAx>
      <c:valAx>
        <c:axId val="82056482"/>
        <c:scaling>
          <c:orientation val="minMax"/>
        </c:scaling>
        <c:delete val="0"/>
        <c:axPos val="l"/>
        <c:numFmt formatCode="[&gt;=1000000]&quot;$&quot;0.0,,&quot;M&quot;;[&gt;=1000]&quot;$&quot;0,&quot;K&quot;;&quot;$&quot;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8971"/>
        <c:crosses val="autoZero"/>
        <c:crossBetween val="between"/>
      </c:valAx>
      <c:catAx>
        <c:axId val="90525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808103"/>
        <c:crosses val="autoZero"/>
        <c:auto val="1"/>
        <c:lblAlgn val="ctr"/>
        <c:lblOffset val="100"/>
        <c:noMultiLvlLbl val="0"/>
      </c:catAx>
      <c:valAx>
        <c:axId val="42808103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250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 Progress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'[1]Data Model'!$U$31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rgbClr val="6C5CE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Model'!$T$32:$T$37</c:f>
              <c:strCache>
                <c:ptCount val="6"/>
                <c:pt idx="0">
                  <c:v>0-20%</c:v>
                </c:pt>
                <c:pt idx="1">
                  <c:v>20-40%</c:v>
                </c:pt>
                <c:pt idx="2">
                  <c:v>40-60%</c:v>
                </c:pt>
                <c:pt idx="3">
                  <c:v>60-80%</c:v>
                </c:pt>
                <c:pt idx="4">
                  <c:v>80-99%</c:v>
                </c:pt>
                <c:pt idx="5">
                  <c:v>100%</c:v>
                </c:pt>
              </c:strCache>
            </c:strRef>
          </c:cat>
          <c:val>
            <c:numRef>
              <c:f>'[1]Data Model'!$U$32:$U$37</c:f>
              <c:numCache>
                <c:formatCode>General</c:formatCode>
                <c:ptCount val="6"/>
                <c:pt idx="0">
                  <c:v>44</c:v>
                </c:pt>
                <c:pt idx="1">
                  <c:v>41</c:v>
                </c:pt>
                <c:pt idx="2">
                  <c:v>45</c:v>
                </c:pt>
                <c:pt idx="3">
                  <c:v>46</c:v>
                </c:pt>
                <c:pt idx="4">
                  <c:v>36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C-48FD-9060-10FC9254D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3520418"/>
        <c:axId val="94192229"/>
      </c:barChart>
      <c:catAx>
        <c:axId val="33520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92229"/>
        <c:crosses val="autoZero"/>
        <c:auto val="1"/>
        <c:lblAlgn val="ctr"/>
        <c:lblOffset val="100"/>
        <c:noMultiLvlLbl val="0"/>
      </c:catAx>
      <c:valAx>
        <c:axId val="941922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20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Team Efficiency - Completion Rate &amp; Hours/Task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'[1]Data Model'!$E$55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Model'!$B$56:$B$63</c:f>
              <c:strCache>
                <c:ptCount val="8"/>
                <c:pt idx="0">
                  <c:v>Frank</c:v>
                </c:pt>
                <c:pt idx="1">
                  <c:v>Bob</c:v>
                </c:pt>
                <c:pt idx="2">
                  <c:v>Eve</c:v>
                </c:pt>
                <c:pt idx="3">
                  <c:v>Ivy</c:v>
                </c:pt>
                <c:pt idx="4">
                  <c:v>Charlie</c:v>
                </c:pt>
                <c:pt idx="5">
                  <c:v>David</c:v>
                </c:pt>
                <c:pt idx="6">
                  <c:v>Alice</c:v>
                </c:pt>
                <c:pt idx="7">
                  <c:v>Grace</c:v>
                </c:pt>
              </c:strCache>
            </c:strRef>
          </c:cat>
          <c:val>
            <c:numRef>
              <c:f>'[1]Data Model'!$E$56:$E$63</c:f>
              <c:numCache>
                <c:formatCode>General</c:formatCode>
                <c:ptCount val="8"/>
                <c:pt idx="0">
                  <c:v>0.4375</c:v>
                </c:pt>
                <c:pt idx="1">
                  <c:v>0.36</c:v>
                </c:pt>
                <c:pt idx="2">
                  <c:v>0.30952380952380953</c:v>
                </c:pt>
                <c:pt idx="3">
                  <c:v>0.28205128205128205</c:v>
                </c:pt>
                <c:pt idx="4">
                  <c:v>0.26666666666666666</c:v>
                </c:pt>
                <c:pt idx="5">
                  <c:v>0.26923076923076922</c:v>
                </c:pt>
                <c:pt idx="6">
                  <c:v>0.25925925925925924</c:v>
                </c:pt>
                <c:pt idx="7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7-42C8-9A52-7137B9A8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9470796"/>
        <c:axId val="40726631"/>
      </c:barChart>
      <c:lineChart>
        <c:grouping val="standard"/>
        <c:varyColors val="0"/>
        <c:ser>
          <c:idx val="1"/>
          <c:order val="1"/>
          <c:tx>
            <c:strRef>
              <c:f>'[1]Data Model'!$F$55</c:f>
              <c:strCache>
                <c:ptCount val="1"/>
                <c:pt idx="0">
                  <c:v>Hrs/Task</c:v>
                </c:pt>
              </c:strCache>
            </c:strRef>
          </c:tx>
          <c:spPr>
            <a:ln w="24120">
              <a:solidFill>
                <a:srgbClr val="F2994A"/>
              </a:solidFill>
              <a:round/>
            </a:ln>
          </c:spPr>
          <c:marker>
            <c:symbol val="circle"/>
            <c:size val="5"/>
            <c:spPr>
              <a:solidFill>
                <a:srgbClr val="F299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'[1]Data Model'!$B$56:$B$63</c:f>
              <c:strCache>
                <c:ptCount val="8"/>
                <c:pt idx="0">
                  <c:v>Frank</c:v>
                </c:pt>
                <c:pt idx="1">
                  <c:v>Bob</c:v>
                </c:pt>
                <c:pt idx="2">
                  <c:v>Eve</c:v>
                </c:pt>
                <c:pt idx="3">
                  <c:v>Ivy</c:v>
                </c:pt>
                <c:pt idx="4">
                  <c:v>Charlie</c:v>
                </c:pt>
                <c:pt idx="5">
                  <c:v>David</c:v>
                </c:pt>
                <c:pt idx="6">
                  <c:v>Alice</c:v>
                </c:pt>
                <c:pt idx="7">
                  <c:v>Grace</c:v>
                </c:pt>
              </c:strCache>
            </c:strRef>
          </c:cat>
          <c:val>
            <c:numRef>
              <c:f>'[1]Data Model'!$F$56:$F$63</c:f>
              <c:numCache>
                <c:formatCode>General</c:formatCode>
                <c:ptCount val="8"/>
                <c:pt idx="0">
                  <c:v>21.0625</c:v>
                </c:pt>
                <c:pt idx="1">
                  <c:v>18.920000000000002</c:v>
                </c:pt>
                <c:pt idx="2">
                  <c:v>21.047619047619047</c:v>
                </c:pt>
                <c:pt idx="3">
                  <c:v>15.589743589743589</c:v>
                </c:pt>
                <c:pt idx="4">
                  <c:v>20.733333333333334</c:v>
                </c:pt>
                <c:pt idx="5">
                  <c:v>16.76923076923077</c:v>
                </c:pt>
                <c:pt idx="6">
                  <c:v>19.62962962962963</c:v>
                </c:pt>
                <c:pt idx="7">
                  <c:v>18.973684210526315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17-42C8-9A52-7137B9A8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428653"/>
        <c:axId val="63522701"/>
      </c:lineChart>
      <c:catAx>
        <c:axId val="494707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26631"/>
        <c:crosses val="autoZero"/>
        <c:auto val="1"/>
        <c:lblAlgn val="ctr"/>
        <c:lblOffset val="100"/>
        <c:noMultiLvlLbl val="0"/>
      </c:catAx>
      <c:valAx>
        <c:axId val="4072663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70796"/>
        <c:crosses val="autoZero"/>
        <c:crossBetween val="between"/>
      </c:valAx>
      <c:catAx>
        <c:axId val="164286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522701"/>
        <c:crosses val="autoZero"/>
        <c:auto val="1"/>
        <c:lblAlgn val="ctr"/>
        <c:lblOffset val="100"/>
        <c:noMultiLvlLbl val="0"/>
      </c:catAx>
      <c:valAx>
        <c:axId val="6352270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2865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image" Target="../media/image5.jpeg"/><Relationship Id="rId26" Type="http://schemas.openxmlformats.org/officeDocument/2006/relationships/image" Target="../media/image13.jpeg"/><Relationship Id="rId3" Type="http://schemas.openxmlformats.org/officeDocument/2006/relationships/chart" Target="../charts/chart3.xml"/><Relationship Id="rId21" Type="http://schemas.openxmlformats.org/officeDocument/2006/relationships/image" Target="../media/image8.pn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4.jpeg"/><Relationship Id="rId25" Type="http://schemas.openxmlformats.org/officeDocument/2006/relationships/image" Target="../media/image12.jpeg"/><Relationship Id="rId2" Type="http://schemas.openxmlformats.org/officeDocument/2006/relationships/chart" Target="../charts/chart2.xml"/><Relationship Id="rId16" Type="http://schemas.openxmlformats.org/officeDocument/2006/relationships/image" Target="../media/image3.jpeg"/><Relationship Id="rId20" Type="http://schemas.openxmlformats.org/officeDocument/2006/relationships/image" Target="../media/image7.jpeg"/><Relationship Id="rId29" Type="http://schemas.openxmlformats.org/officeDocument/2006/relationships/image" Target="../media/image16.jpe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11.jpeg"/><Relationship Id="rId5" Type="http://schemas.openxmlformats.org/officeDocument/2006/relationships/chart" Target="../charts/chart5.xml"/><Relationship Id="rId15" Type="http://schemas.openxmlformats.org/officeDocument/2006/relationships/image" Target="../media/image2.png"/><Relationship Id="rId23" Type="http://schemas.openxmlformats.org/officeDocument/2006/relationships/image" Target="../media/image10.png"/><Relationship Id="rId28" Type="http://schemas.openxmlformats.org/officeDocument/2006/relationships/image" Target="../media/image15.png"/><Relationship Id="rId10" Type="http://schemas.openxmlformats.org/officeDocument/2006/relationships/chart" Target="../charts/chart10.xml"/><Relationship Id="rId19" Type="http://schemas.openxmlformats.org/officeDocument/2006/relationships/image" Target="../media/image6.jpeg"/><Relationship Id="rId31" Type="http://schemas.openxmlformats.org/officeDocument/2006/relationships/image" Target="../media/image18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Relationship Id="rId22" Type="http://schemas.openxmlformats.org/officeDocument/2006/relationships/image" Target="../media/image9.jpeg"/><Relationship Id="rId27" Type="http://schemas.openxmlformats.org/officeDocument/2006/relationships/image" Target="../media/image14.png"/><Relationship Id="rId30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292960</xdr:colOff>
      <xdr:row>35</xdr:row>
      <xdr:rowOff>179937</xdr:rowOff>
    </xdr:from>
    <xdr:to>
      <xdr:col>16</xdr:col>
      <xdr:colOff>282221</xdr:colOff>
      <xdr:row>50</xdr:row>
      <xdr:rowOff>86810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314159</xdr:colOff>
      <xdr:row>35</xdr:row>
      <xdr:rowOff>194234</xdr:rowOff>
    </xdr:from>
    <xdr:to>
      <xdr:col>27</xdr:col>
      <xdr:colOff>141112</xdr:colOff>
      <xdr:row>50</xdr:row>
      <xdr:rowOff>119240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3964</xdr:colOff>
      <xdr:row>18</xdr:row>
      <xdr:rowOff>272601</xdr:rowOff>
    </xdr:from>
    <xdr:to>
      <xdr:col>9</xdr:col>
      <xdr:colOff>172156</xdr:colOff>
      <xdr:row>34</xdr:row>
      <xdr:rowOff>1170526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378400</xdr:colOff>
      <xdr:row>18</xdr:row>
      <xdr:rowOff>294725</xdr:rowOff>
    </xdr:from>
    <xdr:to>
      <xdr:col>17</xdr:col>
      <xdr:colOff>32678</xdr:colOff>
      <xdr:row>34</xdr:row>
      <xdr:rowOff>1103311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16565</xdr:colOff>
      <xdr:row>35</xdr:row>
      <xdr:rowOff>199877</xdr:rowOff>
    </xdr:from>
    <xdr:to>
      <xdr:col>9</xdr:col>
      <xdr:colOff>42334</xdr:colOff>
      <xdr:row>50</xdr:row>
      <xdr:rowOff>99948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437946</xdr:colOff>
      <xdr:row>18</xdr:row>
      <xdr:rowOff>276095</xdr:rowOff>
    </xdr:from>
    <xdr:to>
      <xdr:col>27</xdr:col>
      <xdr:colOff>102164</xdr:colOff>
      <xdr:row>34</xdr:row>
      <xdr:rowOff>1164617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2685</xdr:colOff>
      <xdr:row>51</xdr:row>
      <xdr:rowOff>114527</xdr:rowOff>
    </xdr:from>
    <xdr:to>
      <xdr:col>8</xdr:col>
      <xdr:colOff>654538</xdr:colOff>
      <xdr:row>65</xdr:row>
      <xdr:rowOff>96456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318303</xdr:colOff>
      <xdr:row>51</xdr:row>
      <xdr:rowOff>122847</xdr:rowOff>
    </xdr:from>
    <xdr:to>
      <xdr:col>16</xdr:col>
      <xdr:colOff>250784</xdr:colOff>
      <xdr:row>65</xdr:row>
      <xdr:rowOff>86811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104597</xdr:colOff>
      <xdr:row>66</xdr:row>
      <xdr:rowOff>132212</xdr:rowOff>
    </xdr:from>
    <xdr:to>
      <xdr:col>15</xdr:col>
      <xdr:colOff>637672</xdr:colOff>
      <xdr:row>82</xdr:row>
      <xdr:rowOff>9646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05F2A69-A64F-4F38-9AA8-FEEF13E4E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209218</xdr:colOff>
      <xdr:row>51</xdr:row>
      <xdr:rowOff>130522</xdr:rowOff>
    </xdr:from>
    <xdr:to>
      <xdr:col>27</xdr:col>
      <xdr:colOff>86809</xdr:colOff>
      <xdr:row>65</xdr:row>
      <xdr:rowOff>106102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5FF95C49-21AB-4565-8D08-174AF3627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4167</xdr:colOff>
      <xdr:row>84</xdr:row>
      <xdr:rowOff>16211</xdr:rowOff>
    </xdr:from>
    <xdr:to>
      <xdr:col>13</xdr:col>
      <xdr:colOff>97275</xdr:colOff>
      <xdr:row>100</xdr:row>
      <xdr:rowOff>13138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F37C4C41-6E5D-42C4-8F58-7A418D2D0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16</xdr:col>
      <xdr:colOff>246960</xdr:colOff>
      <xdr:row>66</xdr:row>
      <xdr:rowOff>115748</xdr:rowOff>
    </xdr:from>
    <xdr:to>
      <xdr:col>27</xdr:col>
      <xdr:colOff>76166</xdr:colOff>
      <xdr:row>81</xdr:row>
      <xdr:rowOff>144685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6B4926E2-DF07-42E3-8F62-FB94F24B4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13</xdr:col>
      <xdr:colOff>336254</xdr:colOff>
      <xdr:row>84</xdr:row>
      <xdr:rowOff>9568</xdr:rowOff>
    </xdr:from>
    <xdr:to>
      <xdr:col>27</xdr:col>
      <xdr:colOff>91965</xdr:colOff>
      <xdr:row>100</xdr:row>
      <xdr:rowOff>13139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BAD0490A-1BAB-4154-ABC4-7FBDEC9BA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14732</xdr:colOff>
      <xdr:row>5</xdr:row>
      <xdr:rowOff>175207</xdr:rowOff>
    </xdr:from>
    <xdr:to>
      <xdr:col>17</xdr:col>
      <xdr:colOff>611465</xdr:colOff>
      <xdr:row>7</xdr:row>
      <xdr:rowOff>130111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A117AB9-CAA5-62A2-9509-73C80FFC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2912" y="1292425"/>
          <a:ext cx="596733" cy="608940"/>
        </a:xfrm>
        <a:prstGeom prst="rect">
          <a:avLst/>
        </a:prstGeom>
      </xdr:spPr>
    </xdr:pic>
    <xdr:clientData/>
  </xdr:twoCellAnchor>
  <xdr:twoCellAnchor editAs="oneCell">
    <xdr:from>
      <xdr:col>25</xdr:col>
      <xdr:colOff>23326</xdr:colOff>
      <xdr:row>6</xdr:row>
      <xdr:rowOff>36995</xdr:rowOff>
    </xdr:from>
    <xdr:to>
      <xdr:col>25</xdr:col>
      <xdr:colOff>460660</xdr:colOff>
      <xdr:row>7</xdr:row>
      <xdr:rowOff>18786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CE9DA34-E027-6F4A-04CC-2926F125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6020" y="1351056"/>
          <a:ext cx="437334" cy="430525"/>
        </a:xfrm>
        <a:prstGeom prst="rect">
          <a:avLst/>
        </a:prstGeom>
      </xdr:spPr>
    </xdr:pic>
    <xdr:clientData/>
  </xdr:twoCellAnchor>
  <xdr:twoCellAnchor editAs="oneCell">
    <xdr:from>
      <xdr:col>20</xdr:col>
      <xdr:colOff>233263</xdr:colOff>
      <xdr:row>5</xdr:row>
      <xdr:rowOff>202162</xdr:rowOff>
    </xdr:from>
    <xdr:to>
      <xdr:col>21</xdr:col>
      <xdr:colOff>311020</xdr:colOff>
      <xdr:row>7</xdr:row>
      <xdr:rowOff>118878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40A76FD-1D5B-23CD-74A2-C6E12D42B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2202" y="1321835"/>
          <a:ext cx="575389" cy="575389"/>
        </a:xfrm>
        <a:prstGeom prst="rect">
          <a:avLst/>
        </a:prstGeom>
      </xdr:spPr>
    </xdr:pic>
    <xdr:clientData/>
  </xdr:twoCellAnchor>
  <xdr:twoCellAnchor editAs="oneCell">
    <xdr:from>
      <xdr:col>9</xdr:col>
      <xdr:colOff>171822</xdr:colOff>
      <xdr:row>6</xdr:row>
      <xdr:rowOff>98140</xdr:rowOff>
    </xdr:from>
    <xdr:to>
      <xdr:col>9</xdr:col>
      <xdr:colOff>513521</xdr:colOff>
      <xdr:row>7</xdr:row>
      <xdr:rowOff>8291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6C4D6F9-DD99-388C-29ED-A5AC6A75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940" y="1405493"/>
          <a:ext cx="341699" cy="35888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133421</xdr:colOff>
      <xdr:row>6</xdr:row>
      <xdr:rowOff>85431</xdr:rowOff>
    </xdr:from>
    <xdr:to>
      <xdr:col>13</xdr:col>
      <xdr:colOff>473944</xdr:colOff>
      <xdr:row>6</xdr:row>
      <xdr:rowOff>421106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C4FD0E9-249F-6974-0D15-3C6B98ABC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7060" y="1403175"/>
          <a:ext cx="340523" cy="338540"/>
        </a:xfrm>
        <a:prstGeom prst="rect">
          <a:avLst/>
        </a:prstGeom>
      </xdr:spPr>
    </xdr:pic>
    <xdr:clientData/>
  </xdr:twoCellAnchor>
  <xdr:twoCellAnchor editAs="oneCell">
    <xdr:from>
      <xdr:col>5</xdr:col>
      <xdr:colOff>40522</xdr:colOff>
      <xdr:row>6</xdr:row>
      <xdr:rowOff>57936</xdr:rowOff>
    </xdr:from>
    <xdr:to>
      <xdr:col>5</xdr:col>
      <xdr:colOff>470663</xdr:colOff>
      <xdr:row>7</xdr:row>
      <xdr:rowOff>29249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EA6766B-23BA-B2D6-94EC-8B1B7FF9D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619" y="1373001"/>
          <a:ext cx="430141" cy="420047"/>
        </a:xfrm>
        <a:prstGeom prst="rect">
          <a:avLst/>
        </a:prstGeom>
      </xdr:spPr>
    </xdr:pic>
    <xdr:clientData/>
  </xdr:twoCellAnchor>
  <xdr:twoCellAnchor editAs="oneCell">
    <xdr:from>
      <xdr:col>4</xdr:col>
      <xdr:colOff>639098</xdr:colOff>
      <xdr:row>10</xdr:row>
      <xdr:rowOff>36872</xdr:rowOff>
    </xdr:from>
    <xdr:to>
      <xdr:col>5</xdr:col>
      <xdr:colOff>448599</xdr:colOff>
      <xdr:row>11</xdr:row>
      <xdr:rowOff>89037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82AAA5C-5269-771E-793F-3DB880ABF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663" y="2310582"/>
          <a:ext cx="467031" cy="467031"/>
        </a:xfrm>
        <a:prstGeom prst="rect">
          <a:avLst/>
        </a:prstGeom>
      </xdr:spPr>
    </xdr:pic>
    <xdr:clientData/>
  </xdr:twoCellAnchor>
  <xdr:twoCellAnchor editAs="oneCell">
    <xdr:from>
      <xdr:col>9</xdr:col>
      <xdr:colOff>86032</xdr:colOff>
      <xdr:row>10</xdr:row>
      <xdr:rowOff>67596</xdr:rowOff>
    </xdr:from>
    <xdr:to>
      <xdr:col>9</xdr:col>
      <xdr:colOff>559209</xdr:colOff>
      <xdr:row>11</xdr:row>
      <xdr:rowOff>125907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D7DF436-DBB8-851A-B5B6-755AD2559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9258" y="2341306"/>
          <a:ext cx="473177" cy="473177"/>
        </a:xfrm>
        <a:prstGeom prst="rect">
          <a:avLst/>
        </a:prstGeom>
      </xdr:spPr>
    </xdr:pic>
    <xdr:clientData/>
  </xdr:twoCellAnchor>
  <xdr:twoCellAnchor editAs="oneCell">
    <xdr:from>
      <xdr:col>13</xdr:col>
      <xdr:colOff>18437</xdr:colOff>
      <xdr:row>10</xdr:row>
      <xdr:rowOff>18435</xdr:rowOff>
    </xdr:from>
    <xdr:to>
      <xdr:col>13</xdr:col>
      <xdr:colOff>528485</xdr:colOff>
      <xdr:row>11</xdr:row>
      <xdr:rowOff>113617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60BA4A8-5DB3-9BBD-D56E-38CF7DAA2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1792" y="2292145"/>
          <a:ext cx="510048" cy="510048"/>
        </a:xfrm>
        <a:prstGeom prst="rect">
          <a:avLst/>
        </a:prstGeom>
      </xdr:spPr>
    </xdr:pic>
    <xdr:clientData/>
  </xdr:twoCellAnchor>
  <xdr:twoCellAnchor editAs="oneCell">
    <xdr:from>
      <xdr:col>17</xdr:col>
      <xdr:colOff>43015</xdr:colOff>
      <xdr:row>10</xdr:row>
      <xdr:rowOff>36870</xdr:rowOff>
    </xdr:from>
    <xdr:to>
      <xdr:col>17</xdr:col>
      <xdr:colOff>528482</xdr:colOff>
      <xdr:row>11</xdr:row>
      <xdr:rowOff>107471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031CB91-3589-6B6E-1760-43651956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2370" y="2310580"/>
          <a:ext cx="485467" cy="485467"/>
        </a:xfrm>
        <a:prstGeom prst="rect">
          <a:avLst/>
        </a:prstGeom>
      </xdr:spPr>
    </xdr:pic>
    <xdr:clientData/>
  </xdr:twoCellAnchor>
  <xdr:twoCellAnchor editAs="oneCell">
    <xdr:from>
      <xdr:col>20</xdr:col>
      <xdr:colOff>327280</xdr:colOff>
      <xdr:row>10</xdr:row>
      <xdr:rowOff>37045</xdr:rowOff>
    </xdr:from>
    <xdr:to>
      <xdr:col>21</xdr:col>
      <xdr:colOff>409223</xdr:colOff>
      <xdr:row>11</xdr:row>
      <xdr:rowOff>129774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78B9A82-0A6B-5092-DCB3-C0DBB5E472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16" t="20393" r="11264" b="15291"/>
        <a:stretch>
          <a:fillRect/>
        </a:stretch>
      </xdr:blipFill>
      <xdr:spPr>
        <a:xfrm>
          <a:off x="11611465" y="2308934"/>
          <a:ext cx="575832" cy="507595"/>
        </a:xfrm>
        <a:prstGeom prst="rect">
          <a:avLst/>
        </a:prstGeom>
      </xdr:spPr>
    </xdr:pic>
    <xdr:clientData/>
  </xdr:twoCellAnchor>
  <xdr:twoCellAnchor editAs="oneCell">
    <xdr:from>
      <xdr:col>24</xdr:col>
      <xdr:colOff>338668</xdr:colOff>
      <xdr:row>10</xdr:row>
      <xdr:rowOff>51741</xdr:rowOff>
    </xdr:from>
    <xdr:to>
      <xdr:col>25</xdr:col>
      <xdr:colOff>398577</xdr:colOff>
      <xdr:row>11</xdr:row>
      <xdr:rowOff>116653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888F8C8-0195-5301-2D51-2419C6E8A9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73"/>
        <a:stretch>
          <a:fillRect/>
        </a:stretch>
      </xdr:blipFill>
      <xdr:spPr>
        <a:xfrm>
          <a:off x="13579594" y="2323630"/>
          <a:ext cx="450317" cy="479778"/>
        </a:xfrm>
        <a:prstGeom prst="rect">
          <a:avLst/>
        </a:prstGeom>
      </xdr:spPr>
    </xdr:pic>
    <xdr:clientData/>
  </xdr:twoCellAnchor>
  <xdr:twoCellAnchor editAs="oneCell">
    <xdr:from>
      <xdr:col>4</xdr:col>
      <xdr:colOff>657616</xdr:colOff>
      <xdr:row>14</xdr:row>
      <xdr:rowOff>62631</xdr:rowOff>
    </xdr:from>
    <xdr:to>
      <xdr:col>5</xdr:col>
      <xdr:colOff>451528</xdr:colOff>
      <xdr:row>15</xdr:row>
      <xdr:rowOff>84897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12F55B5-96CD-B2E0-BBEC-9C89C9680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0739" y="3329836"/>
          <a:ext cx="451527" cy="459286"/>
        </a:xfrm>
        <a:prstGeom prst="rect">
          <a:avLst/>
        </a:prstGeom>
      </xdr:spPr>
    </xdr:pic>
    <xdr:clientData/>
  </xdr:twoCellAnchor>
  <xdr:twoCellAnchor editAs="oneCell">
    <xdr:from>
      <xdr:col>9</xdr:col>
      <xdr:colOff>29883</xdr:colOff>
      <xdr:row>14</xdr:row>
      <xdr:rowOff>44824</xdr:rowOff>
    </xdr:from>
    <xdr:to>
      <xdr:col>9</xdr:col>
      <xdr:colOff>470648</xdr:colOff>
      <xdr:row>15</xdr:row>
      <xdr:rowOff>53789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5EEC124-C098-136F-4B51-A3A1E522B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1" y="3302000"/>
          <a:ext cx="440765" cy="44076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29883</xdr:rowOff>
    </xdr:from>
    <xdr:to>
      <xdr:col>13</xdr:col>
      <xdr:colOff>478118</xdr:colOff>
      <xdr:row>15</xdr:row>
      <xdr:rowOff>53789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D032143-5185-6966-8630-FAB25D0DB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177" y="3287059"/>
          <a:ext cx="455706" cy="455706"/>
        </a:xfrm>
        <a:prstGeom prst="rect">
          <a:avLst/>
        </a:prstGeom>
      </xdr:spPr>
    </xdr:pic>
    <xdr:clientData/>
  </xdr:twoCellAnchor>
  <xdr:twoCellAnchor editAs="oneCell">
    <xdr:from>
      <xdr:col>17</xdr:col>
      <xdr:colOff>63855</xdr:colOff>
      <xdr:row>14</xdr:row>
      <xdr:rowOff>46179</xdr:rowOff>
    </xdr:from>
    <xdr:to>
      <xdr:col>17</xdr:col>
      <xdr:colOff>507917</xdr:colOff>
      <xdr:row>15</xdr:row>
      <xdr:rowOff>90098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2D5A589-7319-A61E-262B-F72A4F27FB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13" t="13231" r="14473" b="13157"/>
        <a:stretch>
          <a:fillRect/>
        </a:stretch>
      </xdr:blipFill>
      <xdr:spPr>
        <a:xfrm>
          <a:off x="9744235" y="3307028"/>
          <a:ext cx="444062" cy="477848"/>
        </a:xfrm>
        <a:prstGeom prst="rect">
          <a:avLst/>
        </a:prstGeom>
      </xdr:spPr>
    </xdr:pic>
    <xdr:clientData/>
  </xdr:twoCellAnchor>
  <xdr:twoCellAnchor editAs="oneCell">
    <xdr:from>
      <xdr:col>20</xdr:col>
      <xdr:colOff>452392</xdr:colOff>
      <xdr:row>14</xdr:row>
      <xdr:rowOff>51603</xdr:rowOff>
    </xdr:from>
    <xdr:to>
      <xdr:col>21</xdr:col>
      <xdr:colOff>357604</xdr:colOff>
      <xdr:row>15</xdr:row>
      <xdr:rowOff>109658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39D7492-3288-7F14-B1EB-79A84DC5E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58" t="10624" r="18214" b="10436"/>
        <a:stretch>
          <a:fillRect/>
        </a:stretch>
      </xdr:blipFill>
      <xdr:spPr>
        <a:xfrm>
          <a:off x="11724054" y="3297525"/>
          <a:ext cx="400018" cy="489855"/>
        </a:xfrm>
        <a:prstGeom prst="rect">
          <a:avLst/>
        </a:prstGeom>
      </xdr:spPr>
    </xdr:pic>
    <xdr:clientData/>
  </xdr:twoCellAnchor>
  <xdr:twoCellAnchor editAs="oneCell">
    <xdr:from>
      <xdr:col>24</xdr:col>
      <xdr:colOff>341838</xdr:colOff>
      <xdr:row>14</xdr:row>
      <xdr:rowOff>75219</xdr:rowOff>
    </xdr:from>
    <xdr:to>
      <xdr:col>25</xdr:col>
      <xdr:colOff>353201</xdr:colOff>
      <xdr:row>15</xdr:row>
      <xdr:rowOff>30050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544F4360-735F-C711-CAD7-E0065ADF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362" y="3335794"/>
          <a:ext cx="400540" cy="3882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EFD8371034BB946/Documents/KPI_Performance_Dashboard%20(1).xlsx" TargetMode="External"/><Relationship Id="rId1" Type="http://schemas.openxmlformats.org/officeDocument/2006/relationships/externalLinkPath" Target="https://d.docs.live.net/BEFD8371034BB946/Documents/KPI_Performance_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eep-Dive Analytics"/>
      <sheetName val="Data Model"/>
      <sheetName val="Dataset"/>
    </sheetNames>
    <sheetDataSet>
      <sheetData sheetId="0"/>
      <sheetData sheetId="1"/>
      <sheetData sheetId="2">
        <row r="31">
          <cell r="G31" t="str">
            <v>Cum Actual</v>
          </cell>
          <cell r="I31" t="str">
            <v>Cum Budget</v>
          </cell>
          <cell r="L31" t="str">
            <v>Budget</v>
          </cell>
          <cell r="M31" t="str">
            <v>Cumulative %</v>
          </cell>
          <cell r="U31" t="str">
            <v>Tasks</v>
          </cell>
        </row>
        <row r="32">
          <cell r="E32" t="str">
            <v>Feb-24</v>
          </cell>
          <cell r="G32">
            <v>27684</v>
          </cell>
          <cell r="I32">
            <v>38961</v>
          </cell>
          <cell r="K32" t="str">
            <v>Virginia</v>
          </cell>
          <cell r="L32">
            <v>185811</v>
          </cell>
          <cell r="M32">
            <v>0.11012457920439998</v>
          </cell>
          <cell r="P32">
            <v>0.59897435897435891</v>
          </cell>
          <cell r="Q32">
            <v>395361</v>
          </cell>
          <cell r="R32">
            <v>1600</v>
          </cell>
          <cell r="T32" t="str">
            <v>0-20%</v>
          </cell>
          <cell r="U32">
            <v>44</v>
          </cell>
        </row>
        <row r="33">
          <cell r="E33" t="str">
            <v>Mar-24</v>
          </cell>
          <cell r="G33">
            <v>55940</v>
          </cell>
          <cell r="I33">
            <v>114318</v>
          </cell>
          <cell r="K33" t="str">
            <v>Michigan</v>
          </cell>
          <cell r="L33">
            <v>150533</v>
          </cell>
          <cell r="M33">
            <v>0.19934095111659</v>
          </cell>
          <cell r="P33">
            <v>0.62523809523809526</v>
          </cell>
          <cell r="Q33">
            <v>115653</v>
          </cell>
          <cell r="R33">
            <v>450</v>
          </cell>
          <cell r="T33" t="str">
            <v>20-40%</v>
          </cell>
          <cell r="U33">
            <v>41</v>
          </cell>
        </row>
        <row r="34">
          <cell r="E34" t="str">
            <v>Apr-24</v>
          </cell>
          <cell r="G34">
            <v>102273</v>
          </cell>
          <cell r="I34">
            <v>179231</v>
          </cell>
          <cell r="K34" t="str">
            <v>Texas</v>
          </cell>
          <cell r="L34">
            <v>145497</v>
          </cell>
          <cell r="M34">
            <v>0.28557263761794133</v>
          </cell>
          <cell r="P34">
            <v>0.68033333333333323</v>
          </cell>
          <cell r="Q34">
            <v>377893</v>
          </cell>
          <cell r="R34">
            <v>1089</v>
          </cell>
          <cell r="T34" t="str">
            <v>40-60%</v>
          </cell>
          <cell r="U34">
            <v>45</v>
          </cell>
        </row>
        <row r="35">
          <cell r="E35" t="str">
            <v>May-24</v>
          </cell>
          <cell r="G35">
            <v>145719</v>
          </cell>
          <cell r="I35">
            <v>252935</v>
          </cell>
          <cell r="K35" t="str">
            <v>Georgia</v>
          </cell>
          <cell r="L35">
            <v>143498</v>
          </cell>
          <cell r="M35">
            <v>0.37061957707078846</v>
          </cell>
          <cell r="P35">
            <v>0.69238095238095221</v>
          </cell>
          <cell r="Q35">
            <v>125426</v>
          </cell>
          <cell r="R35">
            <v>436</v>
          </cell>
          <cell r="T35" t="str">
            <v>60-80%</v>
          </cell>
          <cell r="U35">
            <v>46</v>
          </cell>
        </row>
        <row r="36">
          <cell r="E36" t="str">
            <v>Jun-24</v>
          </cell>
          <cell r="G36">
            <v>196818</v>
          </cell>
          <cell r="I36">
            <v>351654</v>
          </cell>
          <cell r="K36" t="str">
            <v>Illinois</v>
          </cell>
          <cell r="L36">
            <v>135609</v>
          </cell>
          <cell r="M36">
            <v>0.4509909440045517</v>
          </cell>
          <cell r="P36">
            <v>0.69428571428571428</v>
          </cell>
          <cell r="Q36">
            <v>117868</v>
          </cell>
          <cell r="R36">
            <v>454</v>
          </cell>
          <cell r="T36" t="str">
            <v>80-99%</v>
          </cell>
          <cell r="U36">
            <v>36</v>
          </cell>
        </row>
        <row r="37">
          <cell r="E37" t="str">
            <v>Jul-24</v>
          </cell>
          <cell r="G37">
            <v>281168</v>
          </cell>
          <cell r="I37">
            <v>560802</v>
          </cell>
          <cell r="K37" t="str">
            <v>Ohio</v>
          </cell>
          <cell r="L37">
            <v>134056</v>
          </cell>
          <cell r="M37">
            <v>0.53044189464700586</v>
          </cell>
          <cell r="P37">
            <v>0.61646464646464638</v>
          </cell>
          <cell r="Q37">
            <v>555079</v>
          </cell>
          <cell r="R37">
            <v>1734</v>
          </cell>
          <cell r="T37" t="str">
            <v>100%</v>
          </cell>
          <cell r="U37">
            <v>88</v>
          </cell>
        </row>
        <row r="38">
          <cell r="E38" t="str">
            <v>Aug-24</v>
          </cell>
          <cell r="G38">
            <v>350668</v>
          </cell>
          <cell r="I38">
            <v>743231</v>
          </cell>
          <cell r="K38" t="str">
            <v>California</v>
          </cell>
          <cell r="L38">
            <v>132003</v>
          </cell>
          <cell r="M38">
            <v>0.60867609406856005</v>
          </cell>
        </row>
        <row r="39">
          <cell r="E39" t="str">
            <v>Sep-24</v>
          </cell>
          <cell r="G39">
            <v>499067</v>
          </cell>
          <cell r="I39">
            <v>949002</v>
          </cell>
          <cell r="K39" t="str">
            <v>Pennsylvania</v>
          </cell>
          <cell r="L39">
            <v>127153</v>
          </cell>
          <cell r="M39">
            <v>0.68403584467308332</v>
          </cell>
        </row>
        <row r="40">
          <cell r="E40" t="str">
            <v>Oct-24</v>
          </cell>
          <cell r="G40">
            <v>499067</v>
          </cell>
          <cell r="I40">
            <v>1009844</v>
          </cell>
          <cell r="K40" t="str">
            <v>New Jersey</v>
          </cell>
          <cell r="L40">
            <v>117417</v>
          </cell>
          <cell r="M40">
            <v>0.75362536152861415</v>
          </cell>
        </row>
        <row r="41">
          <cell r="E41" t="str">
            <v>Nov-24</v>
          </cell>
          <cell r="G41">
            <v>499067</v>
          </cell>
          <cell r="I41">
            <v>1092141</v>
          </cell>
          <cell r="K41" t="str">
            <v>New York</v>
          </cell>
          <cell r="L41">
            <v>116224</v>
          </cell>
          <cell r="M41">
            <v>0.82250782324214122</v>
          </cell>
        </row>
        <row r="42">
          <cell r="E42" t="str">
            <v>Dec-24</v>
          </cell>
          <cell r="G42">
            <v>499067</v>
          </cell>
          <cell r="I42">
            <v>1206478</v>
          </cell>
          <cell r="K42" t="str">
            <v>North Carolina</v>
          </cell>
          <cell r="L42">
            <v>110002</v>
          </cell>
          <cell r="M42">
            <v>0.88770269309184013</v>
          </cell>
        </row>
        <row r="43">
          <cell r="E43" t="str">
            <v>Jan-25</v>
          </cell>
          <cell r="G43">
            <v>505127</v>
          </cell>
          <cell r="I43">
            <v>1267632</v>
          </cell>
          <cell r="K43" t="str">
            <v>Florida</v>
          </cell>
          <cell r="L43">
            <v>103354</v>
          </cell>
          <cell r="M43">
            <v>0.94895749371769944</v>
          </cell>
        </row>
        <row r="44">
          <cell r="E44" t="str">
            <v>Feb-25</v>
          </cell>
          <cell r="G44">
            <v>505127</v>
          </cell>
          <cell r="I44">
            <v>1317685</v>
          </cell>
          <cell r="K44" t="str">
            <v>Washington</v>
          </cell>
          <cell r="L44">
            <v>86123</v>
          </cell>
          <cell r="M44">
            <v>1</v>
          </cell>
        </row>
        <row r="45">
          <cell r="E45" t="str">
            <v>Mar-25</v>
          </cell>
          <cell r="G45">
            <v>509317</v>
          </cell>
          <cell r="I45">
            <v>1410058</v>
          </cell>
        </row>
        <row r="46">
          <cell r="E46" t="str">
            <v>Apr-25</v>
          </cell>
          <cell r="G46">
            <v>509317</v>
          </cell>
          <cell r="I46">
            <v>1483013</v>
          </cell>
        </row>
        <row r="47">
          <cell r="E47" t="str">
            <v>May-25</v>
          </cell>
          <cell r="G47">
            <v>509317</v>
          </cell>
          <cell r="I47">
            <v>1523505</v>
          </cell>
        </row>
        <row r="48">
          <cell r="E48" t="str">
            <v>Jun-25</v>
          </cell>
          <cell r="G48">
            <v>509317</v>
          </cell>
          <cell r="I48">
            <v>1583914</v>
          </cell>
        </row>
        <row r="49">
          <cell r="E49" t="str">
            <v>Jul-25</v>
          </cell>
          <cell r="G49">
            <v>518421</v>
          </cell>
          <cell r="I49">
            <v>1608933</v>
          </cell>
        </row>
        <row r="50">
          <cell r="E50" t="str">
            <v>Aug-25</v>
          </cell>
          <cell r="G50">
            <v>518421</v>
          </cell>
          <cell r="I50">
            <v>1633383</v>
          </cell>
        </row>
        <row r="51">
          <cell r="E51" t="str">
            <v>Sep-25</v>
          </cell>
          <cell r="G51">
            <v>518421</v>
          </cell>
          <cell r="I51">
            <v>1670500</v>
          </cell>
        </row>
        <row r="52">
          <cell r="E52" t="str">
            <v>Oct-25</v>
          </cell>
          <cell r="G52">
            <v>518421</v>
          </cell>
          <cell r="I52">
            <v>1687280</v>
          </cell>
        </row>
        <row r="55">
          <cell r="E55" t="str">
            <v>Completion %</v>
          </cell>
          <cell r="F55" t="str">
            <v>Hrs/Task</v>
          </cell>
        </row>
        <row r="56">
          <cell r="B56" t="str">
            <v>Frank</v>
          </cell>
          <cell r="E56">
            <v>0.4375</v>
          </cell>
          <cell r="F56">
            <v>21.0625</v>
          </cell>
        </row>
        <row r="57">
          <cell r="B57" t="str">
            <v>Bob</v>
          </cell>
          <cell r="E57">
            <v>0.36</v>
          </cell>
          <cell r="F57">
            <v>18.920000000000002</v>
          </cell>
        </row>
        <row r="58">
          <cell r="B58" t="str">
            <v>Eve</v>
          </cell>
          <cell r="E58">
            <v>0.30952380952380953</v>
          </cell>
          <cell r="F58">
            <v>21.047619047619047</v>
          </cell>
        </row>
        <row r="59">
          <cell r="B59" t="str">
            <v>Ivy</v>
          </cell>
          <cell r="E59">
            <v>0.28205128205128205</v>
          </cell>
          <cell r="F59">
            <v>15.589743589743589</v>
          </cell>
        </row>
        <row r="60">
          <cell r="B60" t="str">
            <v>Charlie</v>
          </cell>
          <cell r="E60">
            <v>0.26666666666666666</v>
          </cell>
          <cell r="F60">
            <v>20.733333333333334</v>
          </cell>
        </row>
        <row r="61">
          <cell r="B61" t="str">
            <v>David</v>
          </cell>
          <cell r="E61">
            <v>0.26923076923076922</v>
          </cell>
          <cell r="F61">
            <v>16.76923076923077</v>
          </cell>
        </row>
        <row r="62">
          <cell r="B62" t="str">
            <v>Alice</v>
          </cell>
          <cell r="E62">
            <v>0.25925925925925924</v>
          </cell>
          <cell r="F62">
            <v>19.62962962962963</v>
          </cell>
        </row>
        <row r="63">
          <cell r="B63" t="str">
            <v>Grace</v>
          </cell>
          <cell r="E63">
            <v>0.26315789473684209</v>
          </cell>
          <cell r="F63">
            <v>18.973684210526315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24"/>
  <sheetViews>
    <sheetView showGridLines="0" topLeftCell="B108" zoomScale="152" zoomScaleNormal="115" workbookViewId="0">
      <selection activeCell="C112" sqref="C112:AB112"/>
    </sheetView>
  </sheetViews>
  <sheetFormatPr defaultColWidth="8.6640625" defaultRowHeight="14.4" x14ac:dyDescent="0.3"/>
  <cols>
    <col min="1" max="1" width="4.77734375" hidden="1" customWidth="1"/>
    <col min="2" max="2" width="10" customWidth="1"/>
    <col min="3" max="16" width="9.5546875" customWidth="1"/>
    <col min="17" max="17" width="4.5546875" customWidth="1"/>
    <col min="18" max="18" width="9.109375" customWidth="1"/>
    <col min="19" max="19" width="8.88671875" customWidth="1"/>
    <col min="20" max="20" width="5.6640625" customWidth="1"/>
    <col min="21" max="21" width="7.21875" customWidth="1"/>
    <col min="22" max="22" width="6.6640625" customWidth="1"/>
    <col min="23" max="23" width="7.109375" customWidth="1"/>
    <col min="24" max="24" width="7.5546875" customWidth="1"/>
    <col min="25" max="25" width="5.6640625" customWidth="1"/>
    <col min="26" max="26" width="7" customWidth="1"/>
    <col min="27" max="28" width="5.6640625" customWidth="1"/>
  </cols>
  <sheetData>
    <row r="1" spans="1:28" ht="37.799999999999997" customHeight="1" x14ac:dyDescent="0.3">
      <c r="A1" s="1"/>
      <c r="B1" s="25"/>
      <c r="C1" s="75" t="s">
        <v>680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1"/>
      <c r="AB1" s="1"/>
    </row>
    <row r="2" spans="1:28" ht="19.5" customHeight="1" x14ac:dyDescent="0.3">
      <c r="A2" s="1"/>
      <c r="B2" s="25"/>
      <c r="C2" s="77" t="s">
        <v>681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1"/>
      <c r="AB2" s="1"/>
    </row>
    <row r="3" spans="1:28" ht="13.2" customHeight="1" x14ac:dyDescent="0.3">
      <c r="A3" s="1"/>
      <c r="B3" s="2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2.8" customHeight="1" x14ac:dyDescent="0.3">
      <c r="A4" s="1"/>
      <c r="B4" s="25"/>
      <c r="C4" s="151" t="s">
        <v>685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"/>
      <c r="AB4" s="1"/>
    </row>
    <row r="5" spans="1:28" ht="7.8" customHeight="1" x14ac:dyDescent="0.3">
      <c r="A5" s="1"/>
      <c r="B5" s="2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s="26" customFormat="1" ht="15.6" customHeight="1" x14ac:dyDescent="0.3">
      <c r="A6" s="25"/>
      <c r="B6" s="25"/>
      <c r="C6" s="72" t="s">
        <v>0</v>
      </c>
      <c r="D6" s="73"/>
      <c r="E6" s="73"/>
      <c r="F6" s="74"/>
      <c r="G6" s="72" t="s">
        <v>1</v>
      </c>
      <c r="H6" s="73"/>
      <c r="I6" s="73"/>
      <c r="J6" s="74"/>
      <c r="K6" s="72" t="s">
        <v>677</v>
      </c>
      <c r="L6" s="73"/>
      <c r="M6" s="73"/>
      <c r="N6" s="74"/>
      <c r="O6" s="78" t="s">
        <v>679</v>
      </c>
      <c r="P6" s="79"/>
      <c r="Q6" s="79"/>
      <c r="R6" s="80"/>
      <c r="S6" s="59" t="s">
        <v>9</v>
      </c>
      <c r="T6" s="60"/>
      <c r="U6" s="60"/>
      <c r="V6" s="61"/>
      <c r="W6" s="72" t="s">
        <v>678</v>
      </c>
      <c r="X6" s="73"/>
      <c r="Y6" s="73"/>
      <c r="Z6" s="74"/>
      <c r="AA6" s="25"/>
      <c r="AB6" s="25"/>
    </row>
    <row r="7" spans="1:28" s="26" customFormat="1" ht="35.4" customHeight="1" x14ac:dyDescent="0.3">
      <c r="A7" s="25"/>
      <c r="B7" s="25"/>
      <c r="C7" s="81">
        <f>'Data Model'!C4</f>
        <v>99.999999999999659</v>
      </c>
      <c r="D7" s="82"/>
      <c r="E7" s="82"/>
      <c r="F7" s="83"/>
      <c r="G7" s="81">
        <f>'Data Model'!C5</f>
        <v>300</v>
      </c>
      <c r="H7" s="82"/>
      <c r="I7" s="82"/>
      <c r="J7" s="83"/>
      <c r="K7" s="84">
        <f>'Data Model'!C12</f>
        <v>87</v>
      </c>
      <c r="L7" s="85"/>
      <c r="M7" s="85"/>
      <c r="N7" s="86"/>
      <c r="O7" s="66">
        <v>26</v>
      </c>
      <c r="P7" s="67"/>
      <c r="Q7" s="67"/>
      <c r="R7" s="68"/>
      <c r="S7" s="45">
        <f>'Data Model'!C11</f>
        <v>7</v>
      </c>
      <c r="T7" s="44"/>
      <c r="U7" s="44"/>
      <c r="V7" s="46"/>
      <c r="W7" s="110">
        <f>'Data Model'!C39</f>
        <v>0.28999999999999998</v>
      </c>
      <c r="X7" s="111"/>
      <c r="Y7" s="111"/>
      <c r="Z7" s="112"/>
      <c r="AA7" s="25"/>
      <c r="AB7" s="25"/>
    </row>
    <row r="8" spans="1:28" s="26" customFormat="1" ht="15.75" customHeight="1" x14ac:dyDescent="0.3">
      <c r="A8" s="25"/>
      <c r="B8" s="25"/>
      <c r="C8" s="87" t="s">
        <v>682</v>
      </c>
      <c r="D8" s="88"/>
      <c r="E8" s="88"/>
      <c r="F8" s="89"/>
      <c r="G8" s="87" t="s">
        <v>4</v>
      </c>
      <c r="H8" s="88"/>
      <c r="I8" s="88"/>
      <c r="J8" s="89"/>
      <c r="K8" s="90" t="s">
        <v>683</v>
      </c>
      <c r="L8" s="91"/>
      <c r="M8" s="91"/>
      <c r="N8" s="92"/>
      <c r="O8" s="69" t="s">
        <v>684</v>
      </c>
      <c r="P8" s="70"/>
      <c r="Q8" s="70"/>
      <c r="R8" s="71"/>
      <c r="S8" s="47" t="s">
        <v>13</v>
      </c>
      <c r="T8" s="48"/>
      <c r="U8" s="48"/>
      <c r="V8" s="49"/>
      <c r="W8" s="96" t="s">
        <v>625</v>
      </c>
      <c r="X8" s="97"/>
      <c r="Y8" s="97"/>
      <c r="Z8" s="98"/>
      <c r="AA8" s="25"/>
      <c r="AB8" s="25"/>
    </row>
    <row r="9" spans="1:28" s="26" customFormat="1" ht="9" customHeight="1" x14ac:dyDescent="0.3">
      <c r="A9" s="25"/>
      <c r="B9" s="25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25"/>
      <c r="AB9" s="25"/>
    </row>
    <row r="10" spans="1:28" s="26" customFormat="1" ht="15.75" customHeight="1" x14ac:dyDescent="0.3">
      <c r="A10" s="25"/>
      <c r="B10" s="25"/>
      <c r="C10" s="72" t="s">
        <v>621</v>
      </c>
      <c r="D10" s="73"/>
      <c r="E10" s="73"/>
      <c r="F10" s="74"/>
      <c r="G10" s="72" t="s">
        <v>8</v>
      </c>
      <c r="H10" s="73"/>
      <c r="I10" s="73"/>
      <c r="J10" s="74"/>
      <c r="K10" s="72" t="s">
        <v>622</v>
      </c>
      <c r="L10" s="73"/>
      <c r="M10" s="73"/>
      <c r="N10" s="74"/>
      <c r="O10" s="116" t="s">
        <v>10</v>
      </c>
      <c r="P10" s="117"/>
      <c r="Q10" s="117"/>
      <c r="R10" s="118"/>
      <c r="S10" s="72" t="s">
        <v>623</v>
      </c>
      <c r="T10" s="73"/>
      <c r="U10" s="73"/>
      <c r="V10" s="74"/>
      <c r="W10" s="122" t="s">
        <v>613</v>
      </c>
      <c r="X10" s="123"/>
      <c r="Y10" s="123"/>
      <c r="Z10" s="124"/>
      <c r="AA10" s="25"/>
      <c r="AB10" s="25"/>
    </row>
    <row r="11" spans="1:28" s="26" customFormat="1" ht="32.4" customHeight="1" x14ac:dyDescent="0.3">
      <c r="A11" s="25"/>
      <c r="B11" s="25"/>
      <c r="C11" s="107">
        <f>'Data Model'!C40</f>
        <v>1085090.2399999998</v>
      </c>
      <c r="D11" s="108"/>
      <c r="E11" s="108"/>
      <c r="F11" s="109"/>
      <c r="G11" s="99">
        <f>'Data Model'!C9</f>
        <v>0.63606666666666689</v>
      </c>
      <c r="H11" s="100"/>
      <c r="I11" s="100"/>
      <c r="J11" s="101"/>
      <c r="K11" s="107">
        <f>'Data Model'!C36</f>
        <v>148.47</v>
      </c>
      <c r="L11" s="108"/>
      <c r="M11" s="108"/>
      <c r="N11" s="109"/>
      <c r="O11" s="119">
        <f>'Data Model'!C10</f>
        <v>5763</v>
      </c>
      <c r="P11" s="120"/>
      <c r="Q11" s="120"/>
      <c r="R11" s="121"/>
      <c r="S11" s="113">
        <f>'Data Model'!C37</f>
        <v>93</v>
      </c>
      <c r="T11" s="114"/>
      <c r="U11" s="114"/>
      <c r="V11" s="115"/>
      <c r="W11" s="125">
        <f>'Data Model'!C39</f>
        <v>0.28999999999999998</v>
      </c>
      <c r="X11" s="126"/>
      <c r="Y11" s="126"/>
      <c r="Z11" s="127"/>
      <c r="AA11" s="25"/>
      <c r="AB11" s="25"/>
    </row>
    <row r="12" spans="1:28" s="26" customFormat="1" ht="15.75" customHeight="1" x14ac:dyDescent="0.3">
      <c r="A12" s="25"/>
      <c r="B12" s="25"/>
      <c r="C12" s="96" t="s">
        <v>624</v>
      </c>
      <c r="D12" s="97"/>
      <c r="E12" s="97"/>
      <c r="F12" s="98"/>
      <c r="G12" s="87" t="s">
        <v>12</v>
      </c>
      <c r="H12" s="88"/>
      <c r="I12" s="88"/>
      <c r="J12" s="89"/>
      <c r="K12" s="96" t="s">
        <v>626</v>
      </c>
      <c r="L12" s="97"/>
      <c r="M12" s="97"/>
      <c r="N12" s="98"/>
      <c r="O12" s="93" t="s">
        <v>661</v>
      </c>
      <c r="P12" s="94"/>
      <c r="Q12" s="94"/>
      <c r="R12" s="95"/>
      <c r="S12" s="96" t="s">
        <v>627</v>
      </c>
      <c r="T12" s="97"/>
      <c r="U12" s="97"/>
      <c r="V12" s="98"/>
      <c r="W12" s="134" t="s">
        <v>617</v>
      </c>
      <c r="X12" s="135"/>
      <c r="Y12" s="135"/>
      <c r="Z12" s="136"/>
      <c r="AA12" s="25"/>
      <c r="AB12" s="25"/>
    </row>
    <row r="13" spans="1:28" s="26" customFormat="1" ht="15.6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s="26" customFormat="1" ht="15.75" customHeight="1" x14ac:dyDescent="0.3">
      <c r="A14" s="25"/>
      <c r="B14" s="25"/>
      <c r="C14" s="122" t="s">
        <v>2</v>
      </c>
      <c r="D14" s="123"/>
      <c r="E14" s="123"/>
      <c r="F14" s="124"/>
      <c r="G14" s="72" t="s">
        <v>7</v>
      </c>
      <c r="H14" s="73"/>
      <c r="I14" s="73"/>
      <c r="J14" s="74"/>
      <c r="K14" s="56" t="s">
        <v>3</v>
      </c>
      <c r="L14" s="57"/>
      <c r="M14" s="57"/>
      <c r="N14" s="58"/>
      <c r="O14" s="59" t="s">
        <v>615</v>
      </c>
      <c r="P14" s="60"/>
      <c r="Q14" s="60"/>
      <c r="R14" s="61"/>
      <c r="S14" s="53" t="s">
        <v>616</v>
      </c>
      <c r="T14" s="54"/>
      <c r="U14" s="54"/>
      <c r="V14" s="55"/>
      <c r="W14" s="78" t="s">
        <v>614</v>
      </c>
      <c r="X14" s="79"/>
      <c r="Y14" s="79"/>
      <c r="Z14" s="80"/>
      <c r="AA14" s="25"/>
      <c r="AB14" s="25"/>
    </row>
    <row r="15" spans="1:28" s="26" customFormat="1" ht="34.200000000000003" customHeight="1" x14ac:dyDescent="0.3">
      <c r="A15" s="25"/>
      <c r="B15" s="25"/>
      <c r="C15" s="144">
        <f>'Data Model'!C6</f>
        <v>1687280</v>
      </c>
      <c r="D15" s="145"/>
      <c r="E15" s="145"/>
      <c r="F15" s="146"/>
      <c r="G15" s="99">
        <f>'Data Model'!C8</f>
        <v>0.30725250106680574</v>
      </c>
      <c r="H15" s="100"/>
      <c r="I15" s="100"/>
      <c r="J15" s="101"/>
      <c r="K15" s="147">
        <f>'Data Model'!C7</f>
        <v>518421</v>
      </c>
      <c r="L15" s="148"/>
      <c r="M15" s="148"/>
      <c r="N15" s="62"/>
      <c r="O15" s="131">
        <f>'Data Model'!C35</f>
        <v>16457</v>
      </c>
      <c r="P15" s="132"/>
      <c r="Q15" s="132"/>
      <c r="R15" s="133"/>
      <c r="S15" s="141">
        <f>'Data Model'!C38</f>
        <v>0.92473118279569888</v>
      </c>
      <c r="T15" s="142"/>
      <c r="U15" s="142"/>
      <c r="V15" s="143"/>
      <c r="W15" s="128">
        <f>'Data Model'!C34</f>
        <v>5084</v>
      </c>
      <c r="X15" s="129"/>
      <c r="Y15" s="129"/>
      <c r="Z15" s="130"/>
      <c r="AA15" s="25"/>
      <c r="AB15" s="25"/>
    </row>
    <row r="16" spans="1:28" s="26" customFormat="1" ht="15.75" customHeight="1" x14ac:dyDescent="0.3">
      <c r="A16" s="25"/>
      <c r="B16" s="25"/>
      <c r="C16" s="90" t="s">
        <v>5</v>
      </c>
      <c r="D16" s="91"/>
      <c r="E16" s="91"/>
      <c r="F16" s="92"/>
      <c r="G16" s="87" t="s">
        <v>11</v>
      </c>
      <c r="H16" s="88"/>
      <c r="I16" s="88"/>
      <c r="J16" s="89"/>
      <c r="K16" s="102" t="s">
        <v>6</v>
      </c>
      <c r="L16" s="103"/>
      <c r="M16" s="103"/>
      <c r="N16" s="104"/>
      <c r="O16" s="63" t="s">
        <v>619</v>
      </c>
      <c r="P16" s="64"/>
      <c r="Q16" s="64"/>
      <c r="R16" s="65"/>
      <c r="S16" s="50" t="s">
        <v>620</v>
      </c>
      <c r="T16" s="51"/>
      <c r="U16" s="51"/>
      <c r="V16" s="52"/>
      <c r="W16" s="69" t="s">
        <v>618</v>
      </c>
      <c r="X16" s="70"/>
      <c r="Y16" s="70"/>
      <c r="Z16" s="71"/>
      <c r="AA16" s="25"/>
      <c r="AB16" s="25"/>
    </row>
    <row r="17" spans="1:31" s="26" customFormat="1" ht="10.8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31" ht="21.75" customHeight="1" x14ac:dyDescent="0.3">
      <c r="A18" s="1"/>
      <c r="B18" s="25"/>
      <c r="C18" s="151" t="s">
        <v>14</v>
      </c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"/>
      <c r="AB18" s="1"/>
    </row>
    <row r="19" spans="1:31" ht="11.4" customHeight="1" x14ac:dyDescent="0.3">
      <c r="A19" s="1"/>
      <c r="B19" s="2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31" x14ac:dyDescent="0.3">
      <c r="A20" s="1"/>
      <c r="B20" s="2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31" x14ac:dyDescent="0.3">
      <c r="A21" s="1"/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31" x14ac:dyDescent="0.3">
      <c r="A22" s="1"/>
      <c r="B22" s="2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31" x14ac:dyDescent="0.3">
      <c r="A23" s="1"/>
      <c r="B23" s="2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31" x14ac:dyDescent="0.3">
      <c r="A24" s="1"/>
      <c r="B24" s="2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E24" s="19"/>
    </row>
    <row r="25" spans="1:31" x14ac:dyDescent="0.3">
      <c r="A25" s="1"/>
      <c r="B25" s="2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31" x14ac:dyDescent="0.3">
      <c r="A26" s="1"/>
      <c r="B26" s="2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31" x14ac:dyDescent="0.3">
      <c r="A27" s="1"/>
      <c r="B27" s="2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31" x14ac:dyDescent="0.3">
      <c r="A28" s="1"/>
      <c r="B28" s="2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31" x14ac:dyDescent="0.3">
      <c r="A29" s="1"/>
      <c r="B29" s="2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31" x14ac:dyDescent="0.3">
      <c r="A30" s="1"/>
      <c r="B30" s="2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31" x14ac:dyDescent="0.3">
      <c r="A31" s="1"/>
      <c r="B31" s="2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31" x14ac:dyDescent="0.3">
      <c r="A32" s="1"/>
      <c r="B32" s="2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">
      <c r="A33" s="1"/>
      <c r="B33" s="2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 s="1"/>
      <c r="B34" s="2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16.4" customHeight="1" x14ac:dyDescent="0.3">
      <c r="A35" s="1"/>
      <c r="B35" s="2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6" customHeight="1" x14ac:dyDescent="0.3">
      <c r="A36" s="1"/>
      <c r="B36" s="2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 s="1"/>
      <c r="B37" s="2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 s="1"/>
      <c r="B38" s="2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 s="1"/>
      <c r="B39" s="2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">
      <c r="A40" s="1"/>
      <c r="B40" s="2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 s="1"/>
      <c r="B41" s="2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 s="1"/>
      <c r="B42" s="2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 s="1"/>
      <c r="B43" s="2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 s="1"/>
      <c r="B44" s="2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 s="1"/>
      <c r="B45" s="2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 s="1"/>
      <c r="B46" s="2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 s="1"/>
      <c r="B47" s="2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 s="1"/>
      <c r="B48" s="2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 s="1"/>
      <c r="B49" s="2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 s="1"/>
      <c r="B50" s="2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 s="1"/>
      <c r="B51" s="2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 s="1"/>
      <c r="B52" s="2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 s="1"/>
      <c r="B53" s="2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 s="1"/>
      <c r="B54" s="2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 s="1"/>
      <c r="B55" s="2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 s="1"/>
      <c r="B56" s="2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 s="1"/>
      <c r="B57" s="2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 s="1"/>
      <c r="B58" s="2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 s="1"/>
      <c r="B59" s="2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 s="1"/>
      <c r="B60" s="2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 s="1"/>
      <c r="B61" s="2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 s="1"/>
      <c r="B62" s="2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 s="1"/>
      <c r="B63" s="2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3">
      <c r="A64" s="1"/>
      <c r="B64" s="2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 s="1"/>
      <c r="B65" s="2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 s="1"/>
      <c r="B66" s="2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 s="1"/>
      <c r="B67" s="2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 s="1"/>
      <c r="B68" s="2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 s="1"/>
      <c r="B69" s="2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 s="1"/>
      <c r="B70" s="2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 s="1"/>
      <c r="B71" s="2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 s="1"/>
      <c r="B72" s="2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 s="1"/>
      <c r="B73" s="2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">
      <c r="A74" s="1"/>
      <c r="B74" s="2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">
      <c r="A75" s="1"/>
      <c r="B75" s="2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 s="1"/>
      <c r="B76" s="2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">
      <c r="A77" s="1"/>
      <c r="B77" s="2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">
      <c r="A78" s="1"/>
      <c r="B78" s="2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3">
      <c r="A79" s="1"/>
      <c r="B79" s="2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">
      <c r="A80" s="1"/>
      <c r="B80" s="2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">
      <c r="A81" s="1"/>
      <c r="B81" s="2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">
      <c r="A82" s="1"/>
      <c r="B82" s="2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3">
      <c r="A83" s="1"/>
      <c r="B83" s="2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3">
      <c r="A84" s="1"/>
      <c r="B84" s="2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3">
      <c r="A85" s="1"/>
      <c r="B85" s="2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3">
      <c r="A86" s="1"/>
      <c r="B86" s="2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3">
      <c r="A87" s="1"/>
      <c r="B87" s="2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3">
      <c r="A88" s="1"/>
      <c r="B88" s="2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3">
      <c r="A89" s="1"/>
      <c r="B89" s="2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3">
      <c r="A90" s="1"/>
      <c r="B90" s="2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3">
      <c r="A91" s="1"/>
      <c r="B91" s="2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3">
      <c r="A92" s="1"/>
      <c r="B92" s="2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3">
      <c r="A93" s="1"/>
      <c r="B93" s="2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3">
      <c r="A94" s="1"/>
      <c r="B94" s="2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3">
      <c r="A95" s="1"/>
      <c r="B95" s="2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3">
      <c r="A96" s="1"/>
      <c r="B96" s="2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3">
      <c r="A97" s="1"/>
      <c r="B97" s="2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3">
      <c r="A98" s="1"/>
      <c r="B98" s="2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3">
      <c r="A99" s="1"/>
      <c r="B99" s="2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3">
      <c r="A100" s="1"/>
      <c r="B100" s="2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9.6" customHeight="1" x14ac:dyDescent="0.3">
      <c r="A101" s="1"/>
      <c r="B101" s="2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3.4" customHeight="1" x14ac:dyDescent="0.3">
      <c r="A102" s="1"/>
      <c r="B102" s="25"/>
      <c r="C102" s="34" t="s">
        <v>662</v>
      </c>
      <c r="D102" s="35"/>
      <c r="E102" s="35"/>
      <c r="F102" s="35"/>
      <c r="G102" s="1"/>
      <c r="H102" s="1"/>
      <c r="I102" s="28" t="s">
        <v>664</v>
      </c>
      <c r="J102" s="28" t="s">
        <v>665</v>
      </c>
      <c r="K102" s="106" t="s">
        <v>101</v>
      </c>
      <c r="L102" s="106"/>
      <c r="M102" s="106"/>
      <c r="N102" s="106"/>
      <c r="O102" s="29" t="s">
        <v>666</v>
      </c>
      <c r="P102" s="106" t="s">
        <v>637</v>
      </c>
      <c r="Q102" s="106"/>
      <c r="R102" s="28" t="s">
        <v>22</v>
      </c>
      <c r="S102" s="28" t="s">
        <v>633</v>
      </c>
      <c r="T102" s="138" t="s">
        <v>659</v>
      </c>
      <c r="U102" s="138"/>
      <c r="V102" s="138" t="s">
        <v>667</v>
      </c>
      <c r="W102" s="138"/>
      <c r="X102" s="1"/>
      <c r="Y102" s="1"/>
      <c r="Z102" s="1"/>
      <c r="AA102" s="1"/>
      <c r="AB102" s="1"/>
    </row>
    <row r="103" spans="1:28" ht="23.4" customHeight="1" x14ac:dyDescent="0.3">
      <c r="A103" s="1"/>
      <c r="B103" s="25"/>
      <c r="C103" s="36"/>
      <c r="D103" s="37" t="s">
        <v>88</v>
      </c>
      <c r="E103" s="37" t="s">
        <v>90</v>
      </c>
      <c r="F103" s="37" t="s">
        <v>92</v>
      </c>
      <c r="G103" s="1"/>
      <c r="H103" s="1"/>
      <c r="I103" s="39" t="s">
        <v>483</v>
      </c>
      <c r="J103" s="40" t="s">
        <v>112</v>
      </c>
      <c r="K103" s="139" t="s">
        <v>484</v>
      </c>
      <c r="L103" s="139"/>
      <c r="M103" s="139"/>
      <c r="N103" s="139"/>
      <c r="O103" s="41" t="s">
        <v>56</v>
      </c>
      <c r="P103" s="139" t="s">
        <v>59</v>
      </c>
      <c r="Q103" s="139"/>
      <c r="R103" s="42">
        <v>8493</v>
      </c>
      <c r="S103" s="42">
        <v>12398</v>
      </c>
      <c r="T103" s="140">
        <f t="shared" ref="T103:T109" si="0">S103-R103</f>
        <v>3905</v>
      </c>
      <c r="U103" s="140"/>
      <c r="V103" s="137">
        <f t="shared" ref="V103:V109" si="1">(S103-R103)/R103</f>
        <v>0.45979041563640644</v>
      </c>
      <c r="W103" s="137"/>
      <c r="X103" s="1"/>
      <c r="Y103" s="1"/>
      <c r="Z103" s="1"/>
      <c r="AA103" s="1"/>
      <c r="AB103" s="1"/>
    </row>
    <row r="104" spans="1:28" ht="23.4" customHeight="1" x14ac:dyDescent="0.3">
      <c r="A104" s="1"/>
      <c r="B104" s="25"/>
      <c r="C104" s="36" t="s">
        <v>42</v>
      </c>
      <c r="D104" s="38">
        <f>COUNTIFS(Dataset!$I$2:$I$301,$C104,Dataset!$J$2:$J$301,D$103)</f>
        <v>45</v>
      </c>
      <c r="E104" s="38">
        <f>COUNTIFS(Dataset!$I$2:$I$301,$C104,Dataset!$J$2:$J$301,E$103)</f>
        <v>27</v>
      </c>
      <c r="F104" s="38">
        <f>COUNTIFS(Dataset!$I$2:$I$301,$C104,Dataset!$J$2:$J$301,F$103)</f>
        <v>15</v>
      </c>
      <c r="G104" s="1"/>
      <c r="H104" s="1"/>
      <c r="I104" s="30" t="s">
        <v>158</v>
      </c>
      <c r="J104" s="31" t="s">
        <v>112</v>
      </c>
      <c r="K104" s="105" t="s">
        <v>159</v>
      </c>
      <c r="L104" s="105"/>
      <c r="M104" s="105"/>
      <c r="N104" s="105"/>
      <c r="O104" s="32" t="s">
        <v>51</v>
      </c>
      <c r="P104" s="105" t="s">
        <v>59</v>
      </c>
      <c r="Q104" s="105"/>
      <c r="R104" s="33">
        <v>1577</v>
      </c>
      <c r="S104" s="33">
        <v>4850</v>
      </c>
      <c r="T104" s="149">
        <f t="shared" si="0"/>
        <v>3273</v>
      </c>
      <c r="U104" s="149"/>
      <c r="V104" s="150">
        <f t="shared" si="1"/>
        <v>2.0754597336715284</v>
      </c>
      <c r="W104" s="150"/>
      <c r="X104" s="1"/>
      <c r="Y104" s="1"/>
      <c r="Z104" s="1"/>
      <c r="AA104" s="1"/>
      <c r="AB104" s="1"/>
    </row>
    <row r="105" spans="1:28" ht="23.4" customHeight="1" x14ac:dyDescent="0.3">
      <c r="A105" s="1"/>
      <c r="B105" s="25"/>
      <c r="C105" s="36" t="s">
        <v>36</v>
      </c>
      <c r="D105" s="38">
        <f>COUNTIFS(Dataset!$I$2:$I$301,$C105,Dataset!$J$2:$J$301,D$103)</f>
        <v>44</v>
      </c>
      <c r="E105" s="38">
        <f>COUNTIFS(Dataset!$I$2:$I$301,$C105,Dataset!$J$2:$J$301,E$103)</f>
        <v>19</v>
      </c>
      <c r="F105" s="38">
        <f>COUNTIFS(Dataset!$I$2:$I$301,$C105,Dataset!$J$2:$J$301,F$103)</f>
        <v>12</v>
      </c>
      <c r="G105" s="1"/>
      <c r="H105" s="1"/>
      <c r="I105" s="39" t="s">
        <v>588</v>
      </c>
      <c r="J105" s="40" t="s">
        <v>114</v>
      </c>
      <c r="K105" s="139" t="s">
        <v>668</v>
      </c>
      <c r="L105" s="139"/>
      <c r="M105" s="139"/>
      <c r="N105" s="139"/>
      <c r="O105" s="41" t="s">
        <v>70</v>
      </c>
      <c r="P105" s="139" t="s">
        <v>31</v>
      </c>
      <c r="Q105" s="139"/>
      <c r="R105" s="42">
        <v>2984</v>
      </c>
      <c r="S105" s="42">
        <v>6060</v>
      </c>
      <c r="T105" s="140">
        <f t="shared" si="0"/>
        <v>3076</v>
      </c>
      <c r="U105" s="140"/>
      <c r="V105" s="137">
        <f t="shared" si="1"/>
        <v>1.0308310991957104</v>
      </c>
      <c r="W105" s="137"/>
      <c r="X105" s="1"/>
      <c r="Y105" s="1"/>
      <c r="Z105" s="1"/>
      <c r="AA105" s="1"/>
      <c r="AB105" s="1"/>
    </row>
    <row r="106" spans="1:28" ht="23.4" customHeight="1" x14ac:dyDescent="0.3">
      <c r="A106" s="1"/>
      <c r="B106" s="25"/>
      <c r="C106" s="36" t="s">
        <v>48</v>
      </c>
      <c r="D106" s="38">
        <f>COUNTIFS(Dataset!$I$2:$I$301,$C106,Dataset!$J$2:$J$301,D$103)</f>
        <v>30</v>
      </c>
      <c r="E106" s="38">
        <f>COUNTIFS(Dataset!$I$2:$I$301,$C106,Dataset!$J$2:$J$301,E$103)</f>
        <v>17</v>
      </c>
      <c r="F106" s="38">
        <f>COUNTIFS(Dataset!$I$2:$I$301,$C106,Dataset!$J$2:$J$301,F$103)</f>
        <v>13</v>
      </c>
      <c r="G106" s="1"/>
      <c r="H106" s="1"/>
      <c r="I106" s="30" t="s">
        <v>243</v>
      </c>
      <c r="J106" s="31" t="s">
        <v>114</v>
      </c>
      <c r="K106" s="105" t="s">
        <v>669</v>
      </c>
      <c r="L106" s="105"/>
      <c r="M106" s="105"/>
      <c r="N106" s="105"/>
      <c r="O106" s="32" t="s">
        <v>61</v>
      </c>
      <c r="P106" s="105" t="s">
        <v>43</v>
      </c>
      <c r="Q106" s="105"/>
      <c r="R106" s="33">
        <v>1646</v>
      </c>
      <c r="S106" s="33">
        <v>4190</v>
      </c>
      <c r="T106" s="149">
        <f t="shared" si="0"/>
        <v>2544</v>
      </c>
      <c r="U106" s="149"/>
      <c r="V106" s="150">
        <f t="shared" si="1"/>
        <v>1.5455650060753341</v>
      </c>
      <c r="W106" s="150"/>
      <c r="X106" s="1"/>
      <c r="Y106" s="1"/>
      <c r="Z106" s="1"/>
      <c r="AA106" s="1"/>
      <c r="AB106" s="1"/>
    </row>
    <row r="107" spans="1:28" ht="23.4" customHeight="1" x14ac:dyDescent="0.3">
      <c r="A107" s="1"/>
      <c r="B107" s="25"/>
      <c r="C107" s="36" t="s">
        <v>30</v>
      </c>
      <c r="D107" s="38">
        <f>COUNTIFS(Dataset!$I$2:$I$301,$C107,Dataset!$J$2:$J$301,D$103)</f>
        <v>37</v>
      </c>
      <c r="E107" s="38">
        <f>COUNTIFS(Dataset!$I$2:$I$301,$C107,Dataset!$J$2:$J$301,E$103)</f>
        <v>28</v>
      </c>
      <c r="F107" s="38">
        <f>COUNTIFS(Dataset!$I$2:$I$301,$C107,Dataset!$J$2:$J$301,F$103)</f>
        <v>13</v>
      </c>
      <c r="G107" s="1"/>
      <c r="H107" s="1"/>
      <c r="I107" s="39" t="s">
        <v>578</v>
      </c>
      <c r="J107" s="40" t="s">
        <v>116</v>
      </c>
      <c r="K107" s="139" t="s">
        <v>579</v>
      </c>
      <c r="L107" s="139"/>
      <c r="M107" s="139"/>
      <c r="N107" s="139"/>
      <c r="O107" s="41" t="s">
        <v>33</v>
      </c>
      <c r="P107" s="139" t="s">
        <v>49</v>
      </c>
      <c r="Q107" s="139"/>
      <c r="R107" s="42">
        <v>1447</v>
      </c>
      <c r="S107" s="42">
        <v>3357</v>
      </c>
      <c r="T107" s="140">
        <f t="shared" si="0"/>
        <v>1910</v>
      </c>
      <c r="U107" s="140"/>
      <c r="V107" s="137">
        <f t="shared" si="1"/>
        <v>1.3199723565998618</v>
      </c>
      <c r="W107" s="137"/>
      <c r="X107" s="1"/>
      <c r="Y107" s="1"/>
      <c r="Z107" s="1"/>
      <c r="AA107" s="1"/>
      <c r="AB107" s="1"/>
    </row>
    <row r="108" spans="1:28" ht="23.4" customHeight="1" x14ac:dyDescent="0.3">
      <c r="A108" s="1"/>
      <c r="B108" s="25"/>
      <c r="C108" s="27" t="s">
        <v>663</v>
      </c>
      <c r="D108" s="1"/>
      <c r="E108" s="1"/>
      <c r="F108" s="1"/>
      <c r="G108" s="1"/>
      <c r="H108" s="1"/>
      <c r="I108" s="30" t="s">
        <v>368</v>
      </c>
      <c r="J108" s="31" t="s">
        <v>112</v>
      </c>
      <c r="K108" s="105" t="s">
        <v>670</v>
      </c>
      <c r="L108" s="105"/>
      <c r="M108" s="105"/>
      <c r="N108" s="105"/>
      <c r="O108" s="32" t="s">
        <v>56</v>
      </c>
      <c r="P108" s="105" t="s">
        <v>59</v>
      </c>
      <c r="Q108" s="105"/>
      <c r="R108" s="33">
        <v>8114</v>
      </c>
      <c r="S108" s="33">
        <v>9104</v>
      </c>
      <c r="T108" s="149">
        <f t="shared" si="0"/>
        <v>990</v>
      </c>
      <c r="U108" s="149"/>
      <c r="V108" s="150">
        <f t="shared" si="1"/>
        <v>0.12201133842740941</v>
      </c>
      <c r="W108" s="150"/>
      <c r="X108" s="1"/>
      <c r="Y108" s="1"/>
      <c r="Z108" s="1"/>
      <c r="AA108" s="1"/>
      <c r="AB108" s="1"/>
    </row>
    <row r="109" spans="1:28" ht="23.4" customHeight="1" x14ac:dyDescent="0.3">
      <c r="A109" s="1"/>
      <c r="B109" s="25"/>
      <c r="C109" s="1"/>
      <c r="D109" s="1"/>
      <c r="E109" s="1"/>
      <c r="F109" s="1"/>
      <c r="G109" s="1"/>
      <c r="H109" s="1"/>
      <c r="I109" s="39" t="s">
        <v>218</v>
      </c>
      <c r="J109" s="40" t="s">
        <v>116</v>
      </c>
      <c r="K109" s="139" t="s">
        <v>671</v>
      </c>
      <c r="L109" s="139"/>
      <c r="M109" s="139"/>
      <c r="N109" s="139"/>
      <c r="O109" s="41" t="s">
        <v>56</v>
      </c>
      <c r="P109" s="139" t="s">
        <v>59</v>
      </c>
      <c r="Q109" s="139"/>
      <c r="R109" s="42">
        <v>1424</v>
      </c>
      <c r="S109" s="42">
        <v>2183</v>
      </c>
      <c r="T109" s="140">
        <f t="shared" si="0"/>
        <v>759</v>
      </c>
      <c r="U109" s="140"/>
      <c r="V109" s="137">
        <f t="shared" si="1"/>
        <v>0.5330056179775281</v>
      </c>
      <c r="W109" s="137"/>
      <c r="X109" s="1"/>
      <c r="Y109" s="1"/>
      <c r="Z109" s="1"/>
      <c r="AA109" s="1"/>
      <c r="AB109" s="1"/>
    </row>
    <row r="110" spans="1:28" ht="9.6" customHeight="1" x14ac:dyDescent="0.3">
      <c r="A110" s="1"/>
      <c r="B110" s="2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1.75" customHeight="1" x14ac:dyDescent="0.3">
      <c r="A111" s="1"/>
      <c r="B111" s="25"/>
      <c r="C111" s="151" t="s">
        <v>15</v>
      </c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"/>
      <c r="AA111" s="1"/>
      <c r="AB111" s="1"/>
    </row>
    <row r="112" spans="1:28" ht="9.6" customHeight="1" x14ac:dyDescent="0.3">
      <c r="A112" s="18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21.6" customHeight="1" x14ac:dyDescent="0.3">
      <c r="A113" s="18"/>
      <c r="B113" s="25"/>
      <c r="C113" s="152" t="s">
        <v>686</v>
      </c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"/>
      <c r="AA113" s="1"/>
      <c r="AB113" s="1"/>
    </row>
    <row r="114" spans="1:28" ht="21.6" customHeight="1" x14ac:dyDescent="0.3">
      <c r="A114" s="18"/>
      <c r="B114" s="25"/>
      <c r="C114" s="153" t="s">
        <v>687</v>
      </c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"/>
      <c r="AA114" s="1"/>
      <c r="AB114" s="1"/>
    </row>
    <row r="115" spans="1:28" ht="21.6" customHeight="1" x14ac:dyDescent="0.3">
      <c r="A115" s="18"/>
      <c r="B115" s="25"/>
      <c r="C115" s="154" t="s">
        <v>688</v>
      </c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"/>
      <c r="AA115" s="1"/>
      <c r="AB115" s="1"/>
    </row>
    <row r="116" spans="1:28" ht="21.6" customHeight="1" x14ac:dyDescent="0.3">
      <c r="A116" s="18"/>
      <c r="B116" s="25"/>
      <c r="C116" s="155" t="s">
        <v>689</v>
      </c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"/>
      <c r="AA116" s="1"/>
      <c r="AB116" s="1"/>
    </row>
    <row r="117" spans="1:28" ht="21.6" customHeight="1" x14ac:dyDescent="0.3">
      <c r="A117" s="18"/>
      <c r="B117" s="25"/>
      <c r="C117" s="156" t="s">
        <v>690</v>
      </c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"/>
      <c r="AA117" s="1"/>
      <c r="AB117" s="1"/>
    </row>
    <row r="118" spans="1:28" ht="24" customHeight="1" x14ac:dyDescent="0.3">
      <c r="A118" s="18"/>
      <c r="B118" s="25"/>
      <c r="C118" s="153" t="s">
        <v>672</v>
      </c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"/>
      <c r="AA118" s="1"/>
      <c r="AB118" s="1"/>
    </row>
    <row r="119" spans="1:28" ht="25.2" customHeight="1" x14ac:dyDescent="0.3">
      <c r="A119" s="18"/>
      <c r="B119" s="25"/>
      <c r="C119" s="154" t="s">
        <v>673</v>
      </c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"/>
      <c r="AA119" s="1"/>
      <c r="AB119" s="1"/>
    </row>
    <row r="120" spans="1:28" ht="30" customHeight="1" x14ac:dyDescent="0.3">
      <c r="A120" s="18"/>
      <c r="B120" s="25"/>
      <c r="C120" s="155" t="s">
        <v>674</v>
      </c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"/>
      <c r="AA120" s="1"/>
      <c r="AB120" s="1"/>
    </row>
    <row r="121" spans="1:28" ht="24" customHeight="1" x14ac:dyDescent="0.3">
      <c r="A121" s="18"/>
      <c r="B121" s="25"/>
      <c r="C121" s="156" t="s">
        <v>675</v>
      </c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"/>
      <c r="AA121" s="1"/>
      <c r="AB121" s="1"/>
    </row>
    <row r="122" spans="1:28" ht="22.2" customHeight="1" x14ac:dyDescent="0.3">
      <c r="A122" s="18"/>
      <c r="B122" s="25"/>
      <c r="C122" s="152" t="s">
        <v>676</v>
      </c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"/>
      <c r="AA122" s="1"/>
      <c r="AB122" s="1"/>
    </row>
    <row r="123" spans="1:28" ht="21.6" customHeight="1" x14ac:dyDescent="0.3">
      <c r="A123" s="18"/>
      <c r="B123" s="2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</sheetData>
  <mergeCells count="93">
    <mergeCell ref="C114:Y114"/>
    <mergeCell ref="C115:Y115"/>
    <mergeCell ref="T107:U107"/>
    <mergeCell ref="V107:W107"/>
    <mergeCell ref="T104:U104"/>
    <mergeCell ref="V104:W104"/>
    <mergeCell ref="K105:N105"/>
    <mergeCell ref="P105:Q105"/>
    <mergeCell ref="T105:U105"/>
    <mergeCell ref="C14:F14"/>
    <mergeCell ref="C15:F15"/>
    <mergeCell ref="C16:F16"/>
    <mergeCell ref="K15:M15"/>
    <mergeCell ref="T108:U108"/>
    <mergeCell ref="T106:U106"/>
    <mergeCell ref="K107:N107"/>
    <mergeCell ref="P107:Q107"/>
    <mergeCell ref="C18:Z18"/>
    <mergeCell ref="V105:W105"/>
    <mergeCell ref="T102:U102"/>
    <mergeCell ref="V102:W102"/>
    <mergeCell ref="K103:N103"/>
    <mergeCell ref="P103:Q103"/>
    <mergeCell ref="T103:U103"/>
    <mergeCell ref="V103:W103"/>
    <mergeCell ref="K104:N104"/>
    <mergeCell ref="P104:Q104"/>
    <mergeCell ref="W10:Z10"/>
    <mergeCell ref="W14:Z14"/>
    <mergeCell ref="W11:Z11"/>
    <mergeCell ref="W15:Z15"/>
    <mergeCell ref="O15:R15"/>
    <mergeCell ref="W12:Z12"/>
    <mergeCell ref="S15:V15"/>
    <mergeCell ref="W16:Z16"/>
    <mergeCell ref="C10:F10"/>
    <mergeCell ref="W6:Z6"/>
    <mergeCell ref="K102:N102"/>
    <mergeCell ref="P102:Q102"/>
    <mergeCell ref="K10:N10"/>
    <mergeCell ref="S10:V10"/>
    <mergeCell ref="C11:F11"/>
    <mergeCell ref="W7:Z7"/>
    <mergeCell ref="K11:N11"/>
    <mergeCell ref="S11:V11"/>
    <mergeCell ref="W8:Z8"/>
    <mergeCell ref="G10:J10"/>
    <mergeCell ref="O10:R10"/>
    <mergeCell ref="G11:J11"/>
    <mergeCell ref="O11:R11"/>
    <mergeCell ref="C122:Y122"/>
    <mergeCell ref="K106:N106"/>
    <mergeCell ref="P106:Q106"/>
    <mergeCell ref="K108:N108"/>
    <mergeCell ref="P108:Q108"/>
    <mergeCell ref="V108:W108"/>
    <mergeCell ref="K109:N109"/>
    <mergeCell ref="P109:Q109"/>
    <mergeCell ref="T109:U109"/>
    <mergeCell ref="V109:W109"/>
    <mergeCell ref="V106:W106"/>
    <mergeCell ref="C117:Y117"/>
    <mergeCell ref="C119:Y119"/>
    <mergeCell ref="C111:Y111"/>
    <mergeCell ref="C113:Y113"/>
    <mergeCell ref="K12:N12"/>
    <mergeCell ref="S12:V12"/>
    <mergeCell ref="G14:J14"/>
    <mergeCell ref="G15:J15"/>
    <mergeCell ref="K16:N16"/>
    <mergeCell ref="C6:F6"/>
    <mergeCell ref="G6:J6"/>
    <mergeCell ref="K6:N6"/>
    <mergeCell ref="C1:Z1"/>
    <mergeCell ref="C2:Z2"/>
    <mergeCell ref="O6:R6"/>
    <mergeCell ref="C4:Z4"/>
    <mergeCell ref="O7:R7"/>
    <mergeCell ref="O8:R8"/>
    <mergeCell ref="C118:Y118"/>
    <mergeCell ref="C120:Y120"/>
    <mergeCell ref="C121:Y121"/>
    <mergeCell ref="C7:F7"/>
    <mergeCell ref="G7:J7"/>
    <mergeCell ref="K7:N7"/>
    <mergeCell ref="C8:F8"/>
    <mergeCell ref="G8:J8"/>
    <mergeCell ref="K8:N8"/>
    <mergeCell ref="C116:Y116"/>
    <mergeCell ref="G16:J16"/>
    <mergeCell ref="G12:J12"/>
    <mergeCell ref="O12:R12"/>
    <mergeCell ref="C12:F12"/>
  </mergeCells>
  <conditionalFormatting sqref="D104:F107">
    <cfRule type="colorScale" priority="2">
      <colorScale>
        <cfvo type="min"/>
        <cfvo type="percentile" val="50"/>
        <cfvo type="max"/>
        <color theme="8" tint="0.79998168889431442"/>
        <color theme="8" tint="0.39997558519241921"/>
        <color theme="8" tint="-0.249977111117893"/>
      </colorScale>
    </cfRule>
  </conditionalFormatting>
  <conditionalFormatting sqref="T103:U109">
    <cfRule type="dataBar" priority="1">
      <dataBar>
        <cfvo type="num" val="0"/>
        <cfvo type="num" val="4000"/>
        <color rgb="FFEB5757"/>
      </dataBar>
      <extLst>
        <ext xmlns:x14="http://schemas.microsoft.com/office/spreadsheetml/2009/9/main" uri="{B025F937-C7B1-47D3-B67F-A62EFF666E3E}">
          <x14:id>{8FAECFDB-3103-4228-A50B-14E0DC608E50}</x14:id>
        </ext>
      </extLst>
    </cfRule>
  </conditionalFormatting>
  <pageMargins left="0.75" right="0.75" top="1" bottom="1" header="0.511811023622047" footer="0.511811023622047"/>
  <pageSetup paperSize="11" scale="3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ECFDB-3103-4228-A50B-14E0DC608E50}">
            <x14:dataBar axisPosition="none">
              <x14:cfvo type="num">
                <xm:f>0</xm:f>
              </x14:cfvo>
              <x14:cfvo type="num">
                <xm:f>4000</xm:f>
              </x14:cfvo>
              <x14:negativeFillColor rgb="FFEB5757"/>
            </x14:dataBar>
          </x14:cfRule>
          <xm:sqref>T103:U109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65"/>
  <sheetViews>
    <sheetView showGridLines="0" topLeftCell="M1" zoomScaleNormal="100" workbookViewId="0">
      <selection activeCell="B16" sqref="B16"/>
    </sheetView>
  </sheetViews>
  <sheetFormatPr defaultColWidth="8.6640625" defaultRowHeight="14.4" x14ac:dyDescent="0.3"/>
  <cols>
    <col min="2" max="2" width="20" customWidth="1"/>
    <col min="3" max="3" width="11" customWidth="1"/>
    <col min="5" max="5" width="14" customWidth="1"/>
    <col min="6" max="7" width="9" customWidth="1"/>
    <col min="9" max="9" width="15" customWidth="1"/>
    <col min="10" max="11" width="12" customWidth="1"/>
    <col min="13" max="13" width="9" customWidth="1"/>
    <col min="14" max="15" width="12" customWidth="1"/>
    <col min="17" max="17" width="13" customWidth="1"/>
    <col min="18" max="19" width="7" customWidth="1"/>
    <col min="20" max="20" width="13" customWidth="1"/>
    <col min="22" max="22" width="15" customWidth="1"/>
    <col min="23" max="24" width="12" customWidth="1"/>
    <col min="25" max="25" width="7" customWidth="1"/>
  </cols>
  <sheetData>
    <row r="2" spans="2:25" x14ac:dyDescent="0.3">
      <c r="B2" s="2" t="s">
        <v>691</v>
      </c>
      <c r="E2" s="3" t="s">
        <v>16</v>
      </c>
      <c r="F2" s="3" t="s">
        <v>17</v>
      </c>
      <c r="G2" s="3" t="s">
        <v>18</v>
      </c>
      <c r="I2" s="3" t="s">
        <v>19</v>
      </c>
      <c r="J2" s="3" t="s">
        <v>17</v>
      </c>
      <c r="M2" s="3" t="s">
        <v>20</v>
      </c>
      <c r="N2" s="3" t="s">
        <v>21</v>
      </c>
      <c r="O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V2" s="3" t="s">
        <v>27</v>
      </c>
      <c r="W2" s="3" t="s">
        <v>21</v>
      </c>
      <c r="X2" s="3" t="s">
        <v>22</v>
      </c>
      <c r="Y2" s="3" t="s">
        <v>24</v>
      </c>
    </row>
    <row r="3" spans="2:25" x14ac:dyDescent="0.3">
      <c r="B3" s="4" t="s">
        <v>28</v>
      </c>
      <c r="C3" s="4" t="s">
        <v>29</v>
      </c>
      <c r="E3" s="5" t="s">
        <v>30</v>
      </c>
      <c r="F3" s="5">
        <f>COUNTIF(Dataset!$I$2:$I$301,E3)/3</f>
        <v>26</v>
      </c>
      <c r="G3" s="6">
        <f>F3/$C$4</f>
        <v>0.2600000000000009</v>
      </c>
      <c r="I3" s="5" t="s">
        <v>31</v>
      </c>
      <c r="J3" s="5">
        <f>COUNTIF(Dataset!$C$2:$C$301,I3)/3</f>
        <v>26</v>
      </c>
      <c r="M3" s="5" t="s">
        <v>32</v>
      </c>
      <c r="N3" s="7">
        <f>SUMIF(Dataset!$H$2:$H$301,M3,Dataset!$Q$2:$Q$301)</f>
        <v>27684</v>
      </c>
      <c r="O3" s="7">
        <f>SUMIF(Dataset!$H$2:$H$301,M3,Dataset!$P$2:$P$301)</f>
        <v>38961</v>
      </c>
      <c r="Q3" s="5" t="s">
        <v>70</v>
      </c>
      <c r="R3" s="5">
        <f>COUNTIF(Dataset!$N$2:$N$301,Q3)</f>
        <v>16</v>
      </c>
      <c r="S3" s="5">
        <f>SUMIF(Dataset!$N$2:$N$301,Q3,Dataset!$O$2:$O$301)</f>
        <v>337</v>
      </c>
      <c r="T3" s="7">
        <f>SUMIF(Dataset!$N$2:$N$301,Q3,Dataset!$P$2:$P$301)</f>
        <v>77055</v>
      </c>
      <c r="V3" s="5" t="s">
        <v>87</v>
      </c>
      <c r="W3" s="7">
        <f>SUMIF(Dataset!$D$2:$D$301,V3,Dataset!$Q$2:$Q$301)</f>
        <v>20954</v>
      </c>
      <c r="X3" s="7">
        <f>SUMIF(Dataset!$D$2:$D$301,V3,Dataset!$P$2:$P$301)</f>
        <v>103354</v>
      </c>
      <c r="Y3" s="5">
        <f>COUNTIF(Dataset!$D$2:$D$301,V3)</f>
        <v>22</v>
      </c>
    </row>
    <row r="4" spans="2:25" x14ac:dyDescent="0.3">
      <c r="B4" s="5" t="s">
        <v>35</v>
      </c>
      <c r="C4" s="8">
        <f>SUMPRODUCT(1/COUNTIF(Dataset!$A$2:$A$301,Dataset!$A$2:$A$301))</f>
        <v>99.999999999999659</v>
      </c>
      <c r="E4" s="5" t="s">
        <v>36</v>
      </c>
      <c r="F4" s="5">
        <f>COUNTIF(Dataset!$I$2:$I$301,E4)/3</f>
        <v>25</v>
      </c>
      <c r="G4" s="6">
        <f>F4/$C$4</f>
        <v>0.25000000000000083</v>
      </c>
      <c r="I4" s="5" t="s">
        <v>37</v>
      </c>
      <c r="J4" s="5">
        <f>COUNTIF(Dataset!$C$2:$C$301,I4)/3</f>
        <v>7</v>
      </c>
      <c r="M4" s="5" t="s">
        <v>38</v>
      </c>
      <c r="N4" s="7">
        <f>SUMIF(Dataset!$H$2:$H$301,M4,Dataset!$Q$2:$Q$301)</f>
        <v>28256</v>
      </c>
      <c r="O4" s="7">
        <f>SUMIF(Dataset!$H$2:$H$301,M4,Dataset!$P$2:$P$301)</f>
        <v>75357</v>
      </c>
      <c r="Q4" s="5" t="s">
        <v>66</v>
      </c>
      <c r="R4" s="5">
        <f>COUNTIF(Dataset!$N$2:$N$301,Q4)</f>
        <v>26</v>
      </c>
      <c r="S4" s="5">
        <f>SUMIF(Dataset!$N$2:$N$301,Q4,Dataset!$O$2:$O$301)</f>
        <v>436</v>
      </c>
      <c r="T4" s="7">
        <f>SUMIF(Dataset!$N$2:$N$301,Q4,Dataset!$P$2:$P$301)</f>
        <v>129024</v>
      </c>
      <c r="V4" s="5" t="s">
        <v>84</v>
      </c>
      <c r="W4" s="7">
        <f>SUMIF(Dataset!$D$2:$D$301,V4,Dataset!$Q$2:$Q$301)</f>
        <v>21153</v>
      </c>
      <c r="X4" s="7">
        <f>SUMIF(Dataset!$D$2:$D$301,V4,Dataset!$P$2:$P$301)</f>
        <v>86123</v>
      </c>
      <c r="Y4" s="5">
        <f>COUNTIF(Dataset!$D$2:$D$301,V4)</f>
        <v>16</v>
      </c>
    </row>
    <row r="5" spans="2:25" x14ac:dyDescent="0.3">
      <c r="B5" s="5" t="s">
        <v>41</v>
      </c>
      <c r="C5" s="8">
        <f>COUNTA(Dataset!$K$2:$K$301)</f>
        <v>300</v>
      </c>
      <c r="E5" s="5" t="s">
        <v>42</v>
      </c>
      <c r="F5" s="5">
        <f>COUNTIF(Dataset!$I$2:$I$301,E5)/3</f>
        <v>29</v>
      </c>
      <c r="G5" s="6">
        <f>F5/$C$4</f>
        <v>0.29000000000000098</v>
      </c>
      <c r="I5" s="5" t="s">
        <v>43</v>
      </c>
      <c r="J5" s="5">
        <f>COUNTIF(Dataset!$C$2:$C$301,I5)/3</f>
        <v>20</v>
      </c>
      <c r="M5" s="5" t="s">
        <v>44</v>
      </c>
      <c r="N5" s="7">
        <f>SUMIF(Dataset!$H$2:$H$301,M5,Dataset!$Q$2:$Q$301)</f>
        <v>46333</v>
      </c>
      <c r="O5" s="7">
        <f>SUMIF(Dataset!$H$2:$H$301,M5,Dataset!$P$2:$P$301)</f>
        <v>64913</v>
      </c>
      <c r="Q5" s="5" t="s">
        <v>61</v>
      </c>
      <c r="R5" s="5">
        <f>COUNTIF(Dataset!$N$2:$N$301,Q5)</f>
        <v>25</v>
      </c>
      <c r="S5" s="5">
        <f>SUMIF(Dataset!$N$2:$N$301,Q5,Dataset!$O$2:$O$301)</f>
        <v>473</v>
      </c>
      <c r="T5" s="7">
        <f>SUMIF(Dataset!$N$2:$N$301,Q5,Dataset!$P$2:$P$301)</f>
        <v>145675</v>
      </c>
      <c r="V5" s="5" t="s">
        <v>82</v>
      </c>
      <c r="W5" s="7">
        <f>SUMIF(Dataset!$D$2:$D$301,V5,Dataset!$Q$2:$Q$301)</f>
        <v>22793</v>
      </c>
      <c r="X5" s="7">
        <f>SUMIF(Dataset!$D$2:$D$301,V5,Dataset!$P$2:$P$301)</f>
        <v>110002</v>
      </c>
      <c r="Y5" s="5">
        <f>COUNTIF(Dataset!$D$2:$D$301,V5)</f>
        <v>21</v>
      </c>
    </row>
    <row r="6" spans="2:25" x14ac:dyDescent="0.3">
      <c r="B6" s="5" t="s">
        <v>47</v>
      </c>
      <c r="C6" s="9">
        <f>SUM(Dataset!$P$2:$P$301)</f>
        <v>1687280</v>
      </c>
      <c r="E6" s="5" t="s">
        <v>48</v>
      </c>
      <c r="F6" s="5">
        <f>COUNTIF(Dataset!$I$2:$I$301,E6)/3</f>
        <v>20</v>
      </c>
      <c r="G6" s="6">
        <f>F6/$C$4</f>
        <v>0.20000000000000068</v>
      </c>
      <c r="I6" s="5" t="s">
        <v>49</v>
      </c>
      <c r="J6" s="5">
        <f>COUNTIF(Dataset!$C$2:$C$301,I6)/3</f>
        <v>7</v>
      </c>
      <c r="M6" s="5" t="s">
        <v>50</v>
      </c>
      <c r="N6" s="7">
        <f>SUMIF(Dataset!$H$2:$H$301,M6,Dataset!$Q$2:$Q$301)</f>
        <v>43446</v>
      </c>
      <c r="O6" s="7">
        <f>SUMIF(Dataset!$H$2:$H$301,M6,Dataset!$P$2:$P$301)</f>
        <v>73704</v>
      </c>
      <c r="Q6" s="5" t="s">
        <v>56</v>
      </c>
      <c r="R6" s="5">
        <f>COUNTIF(Dataset!$N$2:$N$301,Q6)</f>
        <v>39</v>
      </c>
      <c r="S6" s="5">
        <f>SUMIF(Dataset!$N$2:$N$301,Q6,Dataset!$O$2:$O$301)</f>
        <v>608</v>
      </c>
      <c r="T6" s="7">
        <f>SUMIF(Dataset!$N$2:$N$301,Q6,Dataset!$P$2:$P$301)</f>
        <v>228001</v>
      </c>
      <c r="V6" s="5" t="s">
        <v>79</v>
      </c>
      <c r="W6" s="7">
        <f>SUMIF(Dataset!$D$2:$D$301,V6,Dataset!$Q$2:$Q$301)</f>
        <v>27162</v>
      </c>
      <c r="X6" s="7">
        <f>SUMIF(Dataset!$D$2:$D$301,V6,Dataset!$P$2:$P$301)</f>
        <v>132003</v>
      </c>
      <c r="Y6" s="5">
        <f>COUNTIF(Dataset!$D$2:$D$301,V6)</f>
        <v>23</v>
      </c>
    </row>
    <row r="7" spans="2:25" x14ac:dyDescent="0.3">
      <c r="B7" s="5" t="s">
        <v>53</v>
      </c>
      <c r="C7" s="9">
        <f>SUM(Dataset!$Q$2:$Q$301)</f>
        <v>518421</v>
      </c>
      <c r="I7" s="5" t="s">
        <v>54</v>
      </c>
      <c r="J7" s="5">
        <f>COUNTIF(Dataset!$C$2:$C$301,I7)/3</f>
        <v>7</v>
      </c>
      <c r="M7" s="5" t="s">
        <v>55</v>
      </c>
      <c r="N7" s="7">
        <f>SUMIF(Dataset!$H$2:$H$301,M7,Dataset!$Q$2:$Q$301)</f>
        <v>51099</v>
      </c>
      <c r="O7" s="7">
        <f>SUMIF(Dataset!$H$2:$H$301,M7,Dataset!$P$2:$P$301)</f>
        <v>98719</v>
      </c>
      <c r="Q7" s="5" t="s">
        <v>51</v>
      </c>
      <c r="R7" s="5">
        <f>COUNTIF(Dataset!$N$2:$N$301,Q7)</f>
        <v>38</v>
      </c>
      <c r="S7" s="5">
        <f>SUMIF(Dataset!$N$2:$N$301,Q7,Dataset!$O$2:$O$301)</f>
        <v>721</v>
      </c>
      <c r="T7" s="7">
        <f>SUMIF(Dataset!$N$2:$N$301,Q7,Dataset!$P$2:$P$301)</f>
        <v>191912</v>
      </c>
      <c r="V7" s="5" t="s">
        <v>75</v>
      </c>
      <c r="W7" s="7">
        <f>SUMIF(Dataset!$D$2:$D$301,V7,Dataset!$Q$2:$Q$301)</f>
        <v>32681</v>
      </c>
      <c r="X7" s="7">
        <f>SUMIF(Dataset!$D$2:$D$301,V7,Dataset!$P$2:$P$301)</f>
        <v>117417</v>
      </c>
      <c r="Y7" s="5">
        <f>COUNTIF(Dataset!$D$2:$D$301,V7)</f>
        <v>22</v>
      </c>
    </row>
    <row r="8" spans="2:25" x14ac:dyDescent="0.3">
      <c r="B8" s="5" t="s">
        <v>58</v>
      </c>
      <c r="C8" s="10">
        <f>C7/C6</f>
        <v>0.30725250106680574</v>
      </c>
      <c r="I8" s="5" t="s">
        <v>59</v>
      </c>
      <c r="J8" s="5">
        <f>COUNTIF(Dataset!$C$2:$C$301,I8)/3</f>
        <v>33</v>
      </c>
      <c r="M8" s="5" t="s">
        <v>60</v>
      </c>
      <c r="N8" s="7">
        <f>SUMIF(Dataset!$H$2:$H$301,M8,Dataset!$Q$2:$Q$301)</f>
        <v>84350</v>
      </c>
      <c r="O8" s="7">
        <f>SUMIF(Dataset!$H$2:$H$301,M8,Dataset!$P$2:$P$301)</f>
        <v>209148</v>
      </c>
      <c r="Q8" s="5" t="s">
        <v>45</v>
      </c>
      <c r="R8" s="5">
        <f>COUNTIF(Dataset!$N$2:$N$301,Q8)</f>
        <v>42</v>
      </c>
      <c r="S8" s="5">
        <f>SUMIF(Dataset!$N$2:$N$301,Q8,Dataset!$O$2:$O$301)</f>
        <v>884</v>
      </c>
      <c r="T8" s="7">
        <f>SUMIF(Dataset!$N$2:$N$301,Q8,Dataset!$P$2:$P$301)</f>
        <v>240784</v>
      </c>
      <c r="V8" s="5" t="s">
        <v>71</v>
      </c>
      <c r="W8" s="7">
        <f>SUMIF(Dataset!$D$2:$D$301,V8,Dataset!$Q$2:$Q$301)</f>
        <v>33397</v>
      </c>
      <c r="X8" s="7">
        <f>SUMIF(Dataset!$D$2:$D$301,V8,Dataset!$P$2:$P$301)</f>
        <v>116224</v>
      </c>
      <c r="Y8" s="5">
        <f>COUNTIF(Dataset!$D$2:$D$301,V8)</f>
        <v>21</v>
      </c>
    </row>
    <row r="9" spans="2:25" x14ac:dyDescent="0.3">
      <c r="B9" s="5" t="s">
        <v>63</v>
      </c>
      <c r="C9" s="10">
        <f>AVERAGE(Dataset!$R$2:$R$301)</f>
        <v>0.63606666666666689</v>
      </c>
      <c r="E9" s="3" t="s">
        <v>64</v>
      </c>
      <c r="F9" s="3" t="s">
        <v>24</v>
      </c>
      <c r="G9" s="3" t="s">
        <v>18</v>
      </c>
      <c r="M9" s="5" t="s">
        <v>65</v>
      </c>
      <c r="N9" s="7">
        <f>SUMIF(Dataset!$H$2:$H$301,M9,Dataset!$Q$2:$Q$301)</f>
        <v>69500</v>
      </c>
      <c r="O9" s="7">
        <f>SUMIF(Dataset!$H$2:$H$301,M9,Dataset!$P$2:$P$301)</f>
        <v>182429</v>
      </c>
      <c r="Q9" s="5" t="s">
        <v>39</v>
      </c>
      <c r="R9" s="5">
        <f>COUNTIF(Dataset!$N$2:$N$301,Q9)</f>
        <v>54</v>
      </c>
      <c r="S9" s="5">
        <f>SUMIF(Dataset!$N$2:$N$301,Q9,Dataset!$O$2:$O$301)</f>
        <v>1060</v>
      </c>
      <c r="T9" s="7">
        <f>SUMIF(Dataset!$N$2:$N$301,Q9,Dataset!$P$2:$P$301)</f>
        <v>336554</v>
      </c>
      <c r="V9" s="5" t="s">
        <v>67</v>
      </c>
      <c r="W9" s="7">
        <f>SUMIF(Dataset!$D$2:$D$301,V9,Dataset!$Q$2:$Q$301)</f>
        <v>38636</v>
      </c>
      <c r="X9" s="7">
        <f>SUMIF(Dataset!$D$2:$D$301,V9,Dataset!$P$2:$P$301)</f>
        <v>143498</v>
      </c>
      <c r="Y9" s="5">
        <f>COUNTIF(Dataset!$D$2:$D$301,V9)</f>
        <v>29</v>
      </c>
    </row>
    <row r="10" spans="2:25" x14ac:dyDescent="0.3">
      <c r="B10" s="5" t="s">
        <v>68</v>
      </c>
      <c r="C10" s="8">
        <f>SUM(Dataset!$O$2:$O$301)</f>
        <v>5763</v>
      </c>
      <c r="E10" s="5" t="s">
        <v>30</v>
      </c>
      <c r="F10" s="5">
        <f>COUNTIF(Dataset!$M$2:$M$301,E10)</f>
        <v>87</v>
      </c>
      <c r="G10" s="6">
        <f>F10/$C$5</f>
        <v>0.28999999999999998</v>
      </c>
      <c r="M10" s="5" t="s">
        <v>69</v>
      </c>
      <c r="N10" s="7">
        <f>SUMIF(Dataset!$H$2:$H$301,M10,Dataset!$Q$2:$Q$301)</f>
        <v>148399</v>
      </c>
      <c r="O10" s="7">
        <f>SUMIF(Dataset!$H$2:$H$301,M10,Dataset!$P$2:$P$301)</f>
        <v>205771</v>
      </c>
      <c r="Q10" s="5" t="s">
        <v>33</v>
      </c>
      <c r="R10" s="5">
        <f>COUNTIF(Dataset!$N$2:$N$301,Q10)</f>
        <v>60</v>
      </c>
      <c r="S10" s="5">
        <f>SUMIF(Dataset!$N$2:$N$301,Q10,Dataset!$O$2:$O$301)</f>
        <v>1244</v>
      </c>
      <c r="T10" s="7">
        <f>SUMIF(Dataset!$N$2:$N$301,Q10,Dataset!$P$2:$P$301)</f>
        <v>338275</v>
      </c>
      <c r="V10" s="5" t="s">
        <v>62</v>
      </c>
      <c r="W10" s="7">
        <f>SUMIF(Dataset!$D$2:$D$301,V10,Dataset!$Q$2:$Q$301)</f>
        <v>38934</v>
      </c>
      <c r="X10" s="7">
        <f>SUMIF(Dataset!$D$2:$D$301,V10,Dataset!$P$2:$P$301)</f>
        <v>134056</v>
      </c>
      <c r="Y10" s="5">
        <f>COUNTIF(Dataset!$D$2:$D$301,V10)</f>
        <v>23</v>
      </c>
    </row>
    <row r="11" spans="2:25" x14ac:dyDescent="0.3">
      <c r="B11" s="5" t="s">
        <v>72</v>
      </c>
      <c r="C11" s="8">
        <f>SUMPRODUCT((Dataset!$Q$2:$Q$301&gt;Dataset!$P$2:$P$301)*1)</f>
        <v>7</v>
      </c>
      <c r="E11" s="5" t="s">
        <v>73</v>
      </c>
      <c r="F11" s="5">
        <f>COUNTIF(Dataset!$M$2:$M$301,E11)</f>
        <v>106</v>
      </c>
      <c r="G11" s="6">
        <f>F11/$C$5</f>
        <v>0.35333333333333333</v>
      </c>
      <c r="I11" s="3" t="s">
        <v>19</v>
      </c>
      <c r="J11" s="3" t="s">
        <v>22</v>
      </c>
      <c r="K11" s="3" t="s">
        <v>21</v>
      </c>
      <c r="M11" s="5" t="s">
        <v>74</v>
      </c>
      <c r="N11" s="7">
        <f>SUMIF(Dataset!$H$2:$H$301,M11,Dataset!$Q$2:$Q$301)</f>
        <v>0</v>
      </c>
      <c r="O11" s="7">
        <f>SUMIF(Dataset!$H$2:$H$301,M11,Dataset!$P$2:$P$301)</f>
        <v>60842</v>
      </c>
      <c r="V11" s="5" t="s">
        <v>57</v>
      </c>
      <c r="W11" s="7">
        <f>SUMIF(Dataset!$D$2:$D$301,V11,Dataset!$Q$2:$Q$301)</f>
        <v>40831</v>
      </c>
      <c r="X11" s="7">
        <f>SUMIF(Dataset!$D$2:$D$301,V11,Dataset!$P$2:$P$301)</f>
        <v>145497</v>
      </c>
      <c r="Y11" s="5">
        <f>COUNTIF(Dataset!$D$2:$D$301,V11)</f>
        <v>22</v>
      </c>
    </row>
    <row r="12" spans="2:25" x14ac:dyDescent="0.3">
      <c r="B12" s="5" t="s">
        <v>76</v>
      </c>
      <c r="C12" s="8">
        <f>COUNTIF(Dataset!$M$2:$M$301,"Completed")</f>
        <v>87</v>
      </c>
      <c r="E12" s="5" t="s">
        <v>77</v>
      </c>
      <c r="F12" s="5">
        <f>COUNTIF(Dataset!$M$2:$M$301,E12)</f>
        <v>107</v>
      </c>
      <c r="G12" s="6">
        <f>F12/$C$5</f>
        <v>0.35666666666666669</v>
      </c>
      <c r="I12" s="5" t="s">
        <v>31</v>
      </c>
      <c r="J12" s="7">
        <f>SUMIF(Dataset!$C$2:$C$301,I12,Dataset!$P$2:$P$301)</f>
        <v>395361</v>
      </c>
      <c r="K12" s="7">
        <f>SUMIF(Dataset!$C$2:$C$301,I12,Dataset!$Q$2:$Q$301)</f>
        <v>121771</v>
      </c>
      <c r="M12" s="5" t="s">
        <v>78</v>
      </c>
      <c r="N12" s="7">
        <f>SUMIF(Dataset!$H$2:$H$301,M12,Dataset!$Q$2:$Q$301)</f>
        <v>0</v>
      </c>
      <c r="O12" s="7">
        <f>SUMIF(Dataset!$H$2:$H$301,M12,Dataset!$P$2:$P$301)</f>
        <v>82297</v>
      </c>
      <c r="V12" s="5" t="s">
        <v>52</v>
      </c>
      <c r="W12" s="7">
        <f>SUMIF(Dataset!$D$2:$D$301,V12,Dataset!$Q$2:$Q$301)</f>
        <v>42351</v>
      </c>
      <c r="X12" s="7">
        <f>SUMIF(Dataset!$D$2:$D$301,V12,Dataset!$P$2:$P$301)</f>
        <v>135609</v>
      </c>
      <c r="Y12" s="5">
        <f>COUNTIF(Dataset!$D$2:$D$301,V12)</f>
        <v>20</v>
      </c>
    </row>
    <row r="13" spans="2:25" x14ac:dyDescent="0.3">
      <c r="B13" s="5" t="s">
        <v>80</v>
      </c>
      <c r="C13" s="8">
        <f>COUNTIF(Dataset!$I$2:$I$301,"Completed")/3</f>
        <v>26</v>
      </c>
      <c r="I13" s="5" t="s">
        <v>37</v>
      </c>
      <c r="J13" s="7">
        <f>SUMIF(Dataset!$C$2:$C$301,I13,Dataset!$P$2:$P$301)</f>
        <v>115653</v>
      </c>
      <c r="K13" s="7">
        <f>SUMIF(Dataset!$C$2:$C$301,I13,Dataset!$Q$2:$Q$301)</f>
        <v>37593</v>
      </c>
      <c r="M13" s="5" t="s">
        <v>81</v>
      </c>
      <c r="N13" s="7">
        <f>SUMIF(Dataset!$H$2:$H$301,M13,Dataset!$Q$2:$Q$301)</f>
        <v>0</v>
      </c>
      <c r="O13" s="7">
        <f>SUMIF(Dataset!$H$2:$H$301,M13,Dataset!$P$2:$P$301)</f>
        <v>114337</v>
      </c>
      <c r="V13" s="5" t="s">
        <v>46</v>
      </c>
      <c r="W13" s="7">
        <f>SUMIF(Dataset!$D$2:$D$301,V13,Dataset!$Q$2:$Q$301)</f>
        <v>61894</v>
      </c>
      <c r="X13" s="7">
        <f>SUMIF(Dataset!$D$2:$D$301,V13,Dataset!$P$2:$P$301)</f>
        <v>127153</v>
      </c>
      <c r="Y13" s="5">
        <f>COUNTIF(Dataset!$D$2:$D$301,V13)</f>
        <v>24</v>
      </c>
    </row>
    <row r="14" spans="2:25" x14ac:dyDescent="0.3">
      <c r="I14" s="5" t="s">
        <v>43</v>
      </c>
      <c r="J14" s="7">
        <f>SUMIF(Dataset!$C$2:$C$301,I14,Dataset!$P$2:$P$301)</f>
        <v>377893</v>
      </c>
      <c r="K14" s="7">
        <f>SUMIF(Dataset!$C$2:$C$301,I14,Dataset!$Q$2:$Q$301)</f>
        <v>124126</v>
      </c>
      <c r="M14" s="5" t="s">
        <v>83</v>
      </c>
      <c r="N14" s="7">
        <f>SUMIF(Dataset!$H$2:$H$301,M14,Dataset!$Q$2:$Q$301)</f>
        <v>6060</v>
      </c>
      <c r="O14" s="7">
        <f>SUMIF(Dataset!$H$2:$H$301,M14,Dataset!$P$2:$P$301)</f>
        <v>61154</v>
      </c>
      <c r="V14" s="5" t="s">
        <v>40</v>
      </c>
      <c r="W14" s="7">
        <f>SUMIF(Dataset!$D$2:$D$301,V14,Dataset!$Q$2:$Q$301)</f>
        <v>65520</v>
      </c>
      <c r="X14" s="7">
        <f>SUMIF(Dataset!$D$2:$D$301,V14,Dataset!$P$2:$P$301)</f>
        <v>150533</v>
      </c>
      <c r="Y14" s="5">
        <f>COUNTIF(Dataset!$D$2:$D$301,V14)</f>
        <v>24</v>
      </c>
    </row>
    <row r="15" spans="2:25" x14ac:dyDescent="0.3">
      <c r="E15" s="3" t="s">
        <v>85</v>
      </c>
      <c r="F15" s="3" t="s">
        <v>24</v>
      </c>
      <c r="G15" s="3" t="s">
        <v>18</v>
      </c>
      <c r="I15" s="5" t="s">
        <v>49</v>
      </c>
      <c r="J15" s="7">
        <f>SUMIF(Dataset!$C$2:$C$301,I15,Dataset!$P$2:$P$301)</f>
        <v>125426</v>
      </c>
      <c r="K15" s="7">
        <f>SUMIF(Dataset!$C$2:$C$301,I15,Dataset!$Q$2:$Q$301)</f>
        <v>54186</v>
      </c>
      <c r="M15" s="5" t="s">
        <v>86</v>
      </c>
      <c r="N15" s="7">
        <f>SUMIF(Dataset!$H$2:$H$301,M15,Dataset!$Q$2:$Q$301)</f>
        <v>0</v>
      </c>
      <c r="O15" s="7">
        <f>SUMIF(Dataset!$H$2:$H$301,M15,Dataset!$P$2:$P$301)</f>
        <v>50053</v>
      </c>
      <c r="V15" s="5" t="s">
        <v>34</v>
      </c>
      <c r="W15" s="7">
        <f>SUMIF(Dataset!$D$2:$D$301,V15,Dataset!$Q$2:$Q$301)</f>
        <v>72115</v>
      </c>
      <c r="X15" s="7">
        <f>SUMIF(Dataset!$D$2:$D$301,V15,Dataset!$P$2:$P$301)</f>
        <v>185811</v>
      </c>
      <c r="Y15" s="5">
        <f>COUNTIF(Dataset!$D$2:$D$301,V15)</f>
        <v>33</v>
      </c>
    </row>
    <row r="16" spans="2:25" x14ac:dyDescent="0.3">
      <c r="E16" s="5" t="s">
        <v>88</v>
      </c>
      <c r="F16" s="5">
        <f>COUNTIF(Dataset!$J$2:$J$301,E16)</f>
        <v>156</v>
      </c>
      <c r="G16" s="6">
        <f>F16/$C$5</f>
        <v>0.52</v>
      </c>
      <c r="I16" s="5" t="s">
        <v>54</v>
      </c>
      <c r="J16" s="7">
        <f>SUMIF(Dataset!$C$2:$C$301,I16,Dataset!$P$2:$P$301)</f>
        <v>117868</v>
      </c>
      <c r="K16" s="7">
        <f>SUMIF(Dataset!$C$2:$C$301,I16,Dataset!$Q$2:$Q$301)</f>
        <v>35203</v>
      </c>
      <c r="M16" s="5" t="s">
        <v>89</v>
      </c>
      <c r="N16" s="7">
        <f>SUMIF(Dataset!$H$2:$H$301,M16,Dataset!$Q$2:$Q$301)</f>
        <v>4190</v>
      </c>
      <c r="O16" s="7">
        <f>SUMIF(Dataset!$H$2:$H$301,M16,Dataset!$P$2:$P$301)</f>
        <v>92373</v>
      </c>
    </row>
    <row r="17" spans="2:20" x14ac:dyDescent="0.3">
      <c r="E17" s="5" t="s">
        <v>90</v>
      </c>
      <c r="F17" s="5">
        <f>COUNTIF(Dataset!$J$2:$J$301,E17)</f>
        <v>91</v>
      </c>
      <c r="G17" s="6">
        <f>F17/$C$5</f>
        <v>0.30333333333333334</v>
      </c>
      <c r="I17" s="5" t="s">
        <v>59</v>
      </c>
      <c r="J17" s="7">
        <f>SUMIF(Dataset!$C$2:$C$301,I17,Dataset!$P$2:$P$301)</f>
        <v>555079</v>
      </c>
      <c r="K17" s="7">
        <f>SUMIF(Dataset!$C$2:$C$301,I17,Dataset!$Q$2:$Q$301)</f>
        <v>145542</v>
      </c>
      <c r="M17" s="5" t="s">
        <v>91</v>
      </c>
      <c r="N17" s="7">
        <f>SUMIF(Dataset!$H$2:$H$301,M17,Dataset!$Q$2:$Q$301)</f>
        <v>0</v>
      </c>
      <c r="O17" s="7">
        <f>SUMIF(Dataset!$H$2:$H$301,M17,Dataset!$P$2:$P$301)</f>
        <v>72955</v>
      </c>
    </row>
    <row r="18" spans="2:20" x14ac:dyDescent="0.3">
      <c r="E18" s="5" t="s">
        <v>92</v>
      </c>
      <c r="F18" s="5">
        <f>COUNTIF(Dataset!$J$2:$J$301,E18)</f>
        <v>53</v>
      </c>
      <c r="G18" s="6">
        <f>F18/$C$5</f>
        <v>0.17666666666666667</v>
      </c>
      <c r="M18" s="5" t="s">
        <v>93</v>
      </c>
      <c r="N18" s="7">
        <f>SUMIF(Dataset!$H$2:$H$301,M18,Dataset!$Q$2:$Q$301)</f>
        <v>0</v>
      </c>
      <c r="O18" s="7">
        <f>SUMIF(Dataset!$H$2:$H$301,M18,Dataset!$P$2:$P$301)</f>
        <v>40492</v>
      </c>
    </row>
    <row r="19" spans="2:20" x14ac:dyDescent="0.3">
      <c r="M19" s="5" t="s">
        <v>94</v>
      </c>
      <c r="N19" s="7">
        <f>SUMIF(Dataset!$H$2:$H$301,M19,Dataset!$Q$2:$Q$301)</f>
        <v>0</v>
      </c>
      <c r="O19" s="7">
        <f>SUMIF(Dataset!$H$2:$H$301,M19,Dataset!$P$2:$P$301)</f>
        <v>60409</v>
      </c>
    </row>
    <row r="20" spans="2:20" x14ac:dyDescent="0.3">
      <c r="I20" s="3" t="s">
        <v>19</v>
      </c>
      <c r="J20" s="3" t="s">
        <v>95</v>
      </c>
      <c r="M20" s="5" t="s">
        <v>96</v>
      </c>
      <c r="N20" s="7">
        <f>SUMIF(Dataset!$H$2:$H$301,M20,Dataset!$Q$2:$Q$301)</f>
        <v>9104</v>
      </c>
      <c r="O20" s="7">
        <f>SUMIF(Dataset!$H$2:$H$301,M20,Dataset!$P$2:$P$301)</f>
        <v>25019</v>
      </c>
    </row>
    <row r="21" spans="2:20" x14ac:dyDescent="0.3">
      <c r="I21" s="5" t="s">
        <v>31</v>
      </c>
      <c r="J21" s="6">
        <f>AVERAGEIF(Dataset!$C$2:$C$301,I21,Dataset!$R$2:$R$301)</f>
        <v>0.59897435897435891</v>
      </c>
      <c r="M21" s="5" t="s">
        <v>97</v>
      </c>
      <c r="N21" s="7">
        <f>SUMIF(Dataset!$H$2:$H$301,M21,Dataset!$Q$2:$Q$301)</f>
        <v>0</v>
      </c>
      <c r="O21" s="7">
        <f>SUMIF(Dataset!$H$2:$H$301,M21,Dataset!$P$2:$P$301)</f>
        <v>24450</v>
      </c>
    </row>
    <row r="22" spans="2:20" x14ac:dyDescent="0.3">
      <c r="I22" s="5" t="s">
        <v>37</v>
      </c>
      <c r="J22" s="6">
        <f>AVERAGEIF(Dataset!$C$2:$C$301,I22,Dataset!$R$2:$R$301)</f>
        <v>0.62523809523809526</v>
      </c>
      <c r="M22" s="5" t="s">
        <v>98</v>
      </c>
      <c r="N22" s="7">
        <f>SUMIF(Dataset!$H$2:$H$301,M22,Dataset!$Q$2:$Q$301)</f>
        <v>0</v>
      </c>
      <c r="O22" s="7">
        <f>SUMIF(Dataset!$H$2:$H$301,M22,Dataset!$P$2:$P$301)</f>
        <v>37117</v>
      </c>
    </row>
    <row r="23" spans="2:20" x14ac:dyDescent="0.3">
      <c r="I23" s="5" t="s">
        <v>43</v>
      </c>
      <c r="J23" s="6">
        <f>AVERAGEIF(Dataset!$C$2:$C$301,I23,Dataset!$R$2:$R$301)</f>
        <v>0.68033333333333323</v>
      </c>
      <c r="M23" s="5" t="s">
        <v>99</v>
      </c>
      <c r="N23" s="7">
        <f>SUMIF(Dataset!$H$2:$H$301,M23,Dataset!$Q$2:$Q$301)</f>
        <v>0</v>
      </c>
      <c r="O23" s="7">
        <f>SUMIF(Dataset!$H$2:$H$301,M23,Dataset!$P$2:$P$301)</f>
        <v>16780</v>
      </c>
    </row>
    <row r="24" spans="2:20" x14ac:dyDescent="0.3">
      <c r="I24" s="5" t="s">
        <v>49</v>
      </c>
      <c r="J24" s="6">
        <f>AVERAGEIF(Dataset!$C$2:$C$301,I24,Dataset!$R$2:$R$301)</f>
        <v>0.69238095238095221</v>
      </c>
    </row>
    <row r="25" spans="2:20" x14ac:dyDescent="0.3">
      <c r="I25" s="5" t="s">
        <v>54</v>
      </c>
      <c r="J25" s="6">
        <f>AVERAGEIF(Dataset!$C$2:$C$301,I25,Dataset!$R$2:$R$301)</f>
        <v>0.69428571428571428</v>
      </c>
    </row>
    <row r="26" spans="2:20" x14ac:dyDescent="0.3">
      <c r="I26" s="5" t="s">
        <v>59</v>
      </c>
      <c r="J26" s="6">
        <f>AVERAGEIF(Dataset!$C$2:$C$301,I26,Dataset!$R$2:$R$301)</f>
        <v>0.61646464646464638</v>
      </c>
    </row>
    <row r="32" spans="2:20" x14ac:dyDescent="0.3">
      <c r="B32" s="2" t="s">
        <v>691</v>
      </c>
      <c r="E32" s="2" t="s">
        <v>628</v>
      </c>
      <c r="K32" s="2" t="s">
        <v>629</v>
      </c>
      <c r="O32" s="2" t="s">
        <v>630</v>
      </c>
      <c r="T32" s="2" t="s">
        <v>631</v>
      </c>
    </row>
    <row r="33" spans="2:21" x14ac:dyDescent="0.3">
      <c r="B33" s="5" t="s">
        <v>632</v>
      </c>
      <c r="C33" s="20">
        <f>SUMIFS(Dataset!$T$2:$T$301,Dataset!$W$2:$W$301,"Yes")/SUM(Dataset!$Q$2:$Q$301)</f>
        <v>0.99750513578732336</v>
      </c>
      <c r="E33" s="3" t="s">
        <v>20</v>
      </c>
      <c r="F33" s="3" t="s">
        <v>633</v>
      </c>
      <c r="G33" s="3" t="s">
        <v>634</v>
      </c>
      <c r="H33" s="3" t="s">
        <v>22</v>
      </c>
      <c r="I33" s="3" t="s">
        <v>635</v>
      </c>
      <c r="K33" s="3" t="s">
        <v>27</v>
      </c>
      <c r="L33" s="3" t="s">
        <v>22</v>
      </c>
      <c r="M33" s="3" t="s">
        <v>636</v>
      </c>
      <c r="O33" s="3" t="s">
        <v>637</v>
      </c>
      <c r="P33" s="3" t="s">
        <v>95</v>
      </c>
      <c r="Q33" s="3" t="s">
        <v>22</v>
      </c>
      <c r="R33" s="3" t="s">
        <v>25</v>
      </c>
      <c r="T33" s="3" t="s">
        <v>638</v>
      </c>
      <c r="U33" s="3" t="s">
        <v>24</v>
      </c>
    </row>
    <row r="34" spans="2:21" x14ac:dyDescent="0.3">
      <c r="B34" s="5" t="s">
        <v>639</v>
      </c>
      <c r="C34" s="9">
        <f>SUMIFS(Dataset!$P$2:$P$301,Dataset!$W$2:$W$301,"Yes")-SUM(Dataset!$Q$2:$Q$301)</f>
        <v>5084</v>
      </c>
      <c r="E34" s="21" t="s">
        <v>32</v>
      </c>
      <c r="F34" s="22">
        <f>SUMIF(Dataset!$H$2:$H$301,E34,Dataset!$Q$2:$Q$301)</f>
        <v>27684</v>
      </c>
      <c r="G34" s="22">
        <f>SUM(F$32:F34)</f>
        <v>27684</v>
      </c>
      <c r="H34" s="22">
        <f>SUMIF(Dataset!$H$2:$H$301,E34,Dataset!$P$2:$P$301)</f>
        <v>38961</v>
      </c>
      <c r="I34" s="22">
        <f>SUM(H$32:H34)</f>
        <v>38961</v>
      </c>
      <c r="K34" s="21" t="s">
        <v>34</v>
      </c>
      <c r="L34" s="22">
        <f>SUMIF(Dataset!$D$2:$D$301,K34,Dataset!$P$2:$P$301)</f>
        <v>185811</v>
      </c>
      <c r="M34" s="23">
        <f>SUM(L$32:L34)/SUM(L$32:L$44)</f>
        <v>0.12405570024896465</v>
      </c>
      <c r="O34" s="21" t="s">
        <v>31</v>
      </c>
      <c r="P34" s="23">
        <f>AVERAGEIF(Dataset!$C$2:$C$301,O34,Dataset!$R$2:$R$301)</f>
        <v>0.59897435897435891</v>
      </c>
      <c r="Q34" s="22">
        <f>SUMIF(Dataset!$C$2:$C$301,O34,Dataset!$P$2:$P$301)</f>
        <v>395361</v>
      </c>
      <c r="R34">
        <f>SUMIF(Dataset!$C$2:$C$301,O34,Dataset!$O$2:$O$301)</f>
        <v>1600</v>
      </c>
      <c r="T34" s="21" t="s">
        <v>640</v>
      </c>
      <c r="U34" s="5">
        <f>COUNTIFS(Dataset!$R$2:$R$301,"&gt;=0",Dataset!$R$2:$R$301,"&lt;0.2")</f>
        <v>44</v>
      </c>
    </row>
    <row r="35" spans="2:21" x14ac:dyDescent="0.3">
      <c r="B35" s="5" t="s">
        <v>641</v>
      </c>
      <c r="C35" s="9">
        <f>SUM(Dataset!$V$2:$V$301)</f>
        <v>16457</v>
      </c>
      <c r="E35" s="21" t="s">
        <v>38</v>
      </c>
      <c r="F35" s="22">
        <f>SUMIF(Dataset!$H$2:$H$301,E35,Dataset!$Q$2:$Q$301)</f>
        <v>28256</v>
      </c>
      <c r="G35" s="22">
        <f>SUM(F$32:F35)</f>
        <v>55940</v>
      </c>
      <c r="H35" s="22">
        <f>SUMIF(Dataset!$H$2:$H$301,E35,Dataset!$P$2:$P$301)</f>
        <v>75357</v>
      </c>
      <c r="I35" s="22">
        <f>SUM(H$32:H35)</f>
        <v>114318</v>
      </c>
      <c r="K35" s="21" t="s">
        <v>40</v>
      </c>
      <c r="L35" s="22">
        <f>SUMIF(Dataset!$D$2:$D$301,K35,Dataset!$P$2:$P$301)</f>
        <v>150533</v>
      </c>
      <c r="M35" s="23">
        <f>SUM(L$32:L35)/SUM(L$32:L$44)</f>
        <v>0.22455823629676266</v>
      </c>
      <c r="O35" s="21" t="s">
        <v>37</v>
      </c>
      <c r="P35" s="23">
        <f>AVERAGEIF(Dataset!$C$2:$C$301,O35,Dataset!$R$2:$R$301)</f>
        <v>0.62523809523809526</v>
      </c>
      <c r="Q35" s="22">
        <f>SUMIF(Dataset!$C$2:$C$301,O35,Dataset!$P$2:$P$301)</f>
        <v>115653</v>
      </c>
      <c r="R35">
        <f>SUMIF(Dataset!$C$2:$C$301,O35,Dataset!$O$2:$O$301)</f>
        <v>450</v>
      </c>
      <c r="T35" s="21" t="s">
        <v>642</v>
      </c>
      <c r="U35" s="5">
        <f>COUNTIFS(Dataset!$R$2:$R$301,"&gt;=0.2",Dataset!$R$2:$R$301,"&lt;0.4")</f>
        <v>41</v>
      </c>
    </row>
    <row r="36" spans="2:21" x14ac:dyDescent="0.3">
      <c r="B36" s="5" t="s">
        <v>643</v>
      </c>
      <c r="C36" s="8">
        <f>AVERAGE(Dataset!$S$2:$S$301)</f>
        <v>148.47</v>
      </c>
      <c r="E36" s="21" t="s">
        <v>44</v>
      </c>
      <c r="F36" s="22">
        <f>SUMIF(Dataset!$H$2:$H$301,E36,Dataset!$Q$2:$Q$301)</f>
        <v>46333</v>
      </c>
      <c r="G36" s="22">
        <f>SUM(F$32:F36)</f>
        <v>102273</v>
      </c>
      <c r="H36" s="22">
        <f>SUMIF(Dataset!$H$2:$H$301,E36,Dataset!$P$2:$P$301)</f>
        <v>64913</v>
      </c>
      <c r="I36" s="22">
        <f>SUM(H$32:H36)</f>
        <v>179231</v>
      </c>
      <c r="K36" s="21" t="s">
        <v>57</v>
      </c>
      <c r="L36" s="22">
        <f>SUMIF(Dataset!$D$2:$D$301,K36,Dataset!$P$2:$P$301)</f>
        <v>145497</v>
      </c>
      <c r="M36" s="23">
        <f>SUM(L$32:L36)/SUM(L$32:L$44)</f>
        <v>0.32169851442412656</v>
      </c>
      <c r="O36" s="21" t="s">
        <v>43</v>
      </c>
      <c r="P36" s="23">
        <f>AVERAGEIF(Dataset!$C$2:$C$301,O36,Dataset!$R$2:$R$301)</f>
        <v>0.68033333333333323</v>
      </c>
      <c r="Q36" s="22">
        <f>SUMIF(Dataset!$C$2:$C$301,O36,Dataset!$P$2:$P$301)</f>
        <v>377893</v>
      </c>
      <c r="R36">
        <f>SUMIF(Dataset!$C$2:$C$301,O36,Dataset!$O$2:$O$301)</f>
        <v>1089</v>
      </c>
      <c r="T36" s="21" t="s">
        <v>644</v>
      </c>
      <c r="U36" s="5">
        <f>COUNTIFS(Dataset!$R$2:$R$301,"&gt;=0.4",Dataset!$R$2:$R$301,"&lt;0.6")</f>
        <v>45</v>
      </c>
    </row>
    <row r="37" spans="2:21" x14ac:dyDescent="0.3">
      <c r="B37" s="5" t="s">
        <v>645</v>
      </c>
      <c r="C37" s="8">
        <f>COUNTIF(Dataset!$W$2:$W$301,"Yes")</f>
        <v>93</v>
      </c>
      <c r="E37" s="21" t="s">
        <v>50</v>
      </c>
      <c r="F37" s="22">
        <f>SUMIF(Dataset!$H$2:$H$301,E37,Dataset!$Q$2:$Q$301)</f>
        <v>43446</v>
      </c>
      <c r="G37" s="22">
        <f>SUM(F$32:F37)</f>
        <v>145719</v>
      </c>
      <c r="H37" s="22">
        <f>SUMIF(Dataset!$H$2:$H$301,E37,Dataset!$P$2:$P$301)</f>
        <v>73704</v>
      </c>
      <c r="I37" s="22">
        <f>SUM(H$32:H37)</f>
        <v>252935</v>
      </c>
      <c r="K37" s="21" t="s">
        <v>67</v>
      </c>
      <c r="L37" s="22">
        <f>SUMIF(Dataset!$D$2:$D$301,K37,Dataset!$P$2:$P$301)</f>
        <v>143498</v>
      </c>
      <c r="M37" s="23">
        <f>SUM(L$32:L37)/SUM(L$32:L$44)</f>
        <v>0.41750417110928473</v>
      </c>
      <c r="O37" s="21" t="s">
        <v>49</v>
      </c>
      <c r="P37" s="23">
        <f>AVERAGEIF(Dataset!$C$2:$C$301,O37,Dataset!$R$2:$R$301)</f>
        <v>0.69238095238095221</v>
      </c>
      <c r="Q37" s="22">
        <f>SUMIF(Dataset!$C$2:$C$301,O37,Dataset!$P$2:$P$301)</f>
        <v>125426</v>
      </c>
      <c r="R37">
        <f>SUMIF(Dataset!$C$2:$C$301,O37,Dataset!$O$2:$O$301)</f>
        <v>436</v>
      </c>
      <c r="T37" s="21" t="s">
        <v>646</v>
      </c>
      <c r="U37" s="5">
        <f>COUNTIFS(Dataset!$R$2:$R$301,"&gt;=0.6",Dataset!$R$2:$R$301,"&lt;0.8")</f>
        <v>46</v>
      </c>
    </row>
    <row r="38" spans="2:21" x14ac:dyDescent="0.3">
      <c r="B38" s="5" t="s">
        <v>647</v>
      </c>
      <c r="C38" s="10">
        <f>COUNTIFS(Dataset!$W$2:$W$301,"Yes",Dataset!$U$2:$U$301,"No")/COUNTIF(Dataset!W:W,"Yes")</f>
        <v>0.92473118279569888</v>
      </c>
      <c r="E38" s="21" t="s">
        <v>55</v>
      </c>
      <c r="F38" s="22">
        <f>SUMIF(Dataset!$H$2:$H$301,E38,Dataset!$Q$2:$Q$301)</f>
        <v>51099</v>
      </c>
      <c r="G38" s="22">
        <f>SUM(F$32:F38)</f>
        <v>196818</v>
      </c>
      <c r="H38" s="22">
        <f>SUMIF(Dataset!$H$2:$H$301,E38,Dataset!$P$2:$P$301)</f>
        <v>98719</v>
      </c>
      <c r="I38" s="22">
        <f>SUM(H$32:H38)</f>
        <v>351654</v>
      </c>
      <c r="K38" s="21" t="s">
        <v>52</v>
      </c>
      <c r="L38" s="22">
        <f>SUMIF(Dataset!$D$2:$D$301,K38,Dataset!$P$2:$P$301)</f>
        <v>135609</v>
      </c>
      <c r="M38" s="23">
        <f>SUM(L$32:L38)/SUM(L$32:L$44)</f>
        <v>0.50804277999176128</v>
      </c>
      <c r="O38" s="21" t="s">
        <v>54</v>
      </c>
      <c r="P38" s="23">
        <f>AVERAGEIF(Dataset!$C$2:$C$301,O38,Dataset!$R$2:$R$301)</f>
        <v>0.69428571428571428</v>
      </c>
      <c r="Q38" s="22">
        <f>SUMIF(Dataset!$C$2:$C$301,O38,Dataset!$P$2:$P$301)</f>
        <v>117868</v>
      </c>
      <c r="R38">
        <f>SUMIF(Dataset!$C$2:$C$301,O38,Dataset!$O$2:$O$301)</f>
        <v>454</v>
      </c>
      <c r="T38" s="21" t="s">
        <v>648</v>
      </c>
      <c r="U38" s="5">
        <f>COUNTIFS(Dataset!$R$2:$R$301,"&gt;=0.8",Dataset!$R$2:$R$301,"&lt;1")</f>
        <v>36</v>
      </c>
    </row>
    <row r="39" spans="2:21" x14ac:dyDescent="0.3">
      <c r="B39" s="5" t="s">
        <v>649</v>
      </c>
      <c r="C39" s="10">
        <f>COUNTIF(Dataset!$M$2:$M$301,"Completed")/COUNTA(Dataset!$K$2:$K$301)</f>
        <v>0.28999999999999998</v>
      </c>
      <c r="E39" s="21" t="s">
        <v>60</v>
      </c>
      <c r="F39" s="22">
        <f>SUMIF(Dataset!$H$2:$H$301,E39,Dataset!$Q$2:$Q$301)</f>
        <v>84350</v>
      </c>
      <c r="G39" s="22">
        <f>SUM(F$32:F39)</f>
        <v>281168</v>
      </c>
      <c r="H39" s="22">
        <f>SUMIF(Dataset!$H$2:$H$301,E39,Dataset!$P$2:$P$301)</f>
        <v>209148</v>
      </c>
      <c r="I39" s="22">
        <f>SUM(H$32:H39)</f>
        <v>560802</v>
      </c>
      <c r="K39" s="21" t="s">
        <v>62</v>
      </c>
      <c r="L39" s="22">
        <f>SUMIF(Dataset!$D$2:$D$301,K39,Dataset!$P$2:$P$301)</f>
        <v>134056</v>
      </c>
      <c r="M39" s="23">
        <f>SUM(L$32:L39)/SUM(L$32:L$44)</f>
        <v>0.59754453689837717</v>
      </c>
      <c r="O39" s="21" t="s">
        <v>59</v>
      </c>
      <c r="P39" s="23">
        <f>AVERAGEIF(Dataset!$C$2:$C$301,O39,Dataset!$R$2:$R$301)</f>
        <v>0.61646464646464638</v>
      </c>
      <c r="Q39" s="22">
        <f>SUMIF(Dataset!$C$2:$C$301,O39,Dataset!$P$2:$P$301)</f>
        <v>555079</v>
      </c>
      <c r="R39">
        <f>SUMIF(Dataset!$C$2:$C$301,O39,Dataset!$O$2:$O$301)</f>
        <v>1734</v>
      </c>
      <c r="T39" s="21" t="s">
        <v>650</v>
      </c>
      <c r="U39" s="5">
        <f>COUNTIF(Dataset!$R$2:$R$301,1)</f>
        <v>88</v>
      </c>
    </row>
    <row r="40" spans="2:21" x14ac:dyDescent="0.3">
      <c r="B40" s="5" t="s">
        <v>651</v>
      </c>
      <c r="C40" s="9">
        <f>SUM(Dataset!$T$2:$T$301)</f>
        <v>1085090.2399999998</v>
      </c>
      <c r="E40" s="21" t="s">
        <v>65</v>
      </c>
      <c r="F40" s="22">
        <f>SUMIF(Dataset!$H$2:$H$301,E40,Dataset!$Q$2:$Q$301)</f>
        <v>69500</v>
      </c>
      <c r="G40" s="22">
        <f>SUM(F$32:F40)</f>
        <v>350668</v>
      </c>
      <c r="H40" s="22">
        <f>SUMIF(Dataset!$H$2:$H$301,E40,Dataset!$P$2:$P$301)</f>
        <v>182429</v>
      </c>
      <c r="I40" s="22">
        <f>SUM(H$32:H40)</f>
        <v>743231</v>
      </c>
      <c r="K40" s="21" t="s">
        <v>79</v>
      </c>
      <c r="L40" s="22">
        <f>SUMIF(Dataset!$D$2:$D$301,K40,Dataset!$P$2:$P$301)</f>
        <v>132003</v>
      </c>
      <c r="M40" s="23">
        <f>SUM(L$32:L40)/SUM(L$32:L$44)</f>
        <v>0.68567561955744516</v>
      </c>
    </row>
    <row r="41" spans="2:21" x14ac:dyDescent="0.3">
      <c r="E41" s="21" t="s">
        <v>69</v>
      </c>
      <c r="F41" s="22">
        <f>SUMIF(Dataset!$H$2:$H$301,E41,Dataset!$Q$2:$Q$301)</f>
        <v>148399</v>
      </c>
      <c r="G41" s="22">
        <f>SUM(F$32:F41)</f>
        <v>499067</v>
      </c>
      <c r="H41" s="22">
        <f>SUMIF(Dataset!$H$2:$H$301,E41,Dataset!$P$2:$P$301)</f>
        <v>205771</v>
      </c>
      <c r="I41" s="22">
        <f>SUM(H$32:H41)</f>
        <v>949002</v>
      </c>
      <c r="K41" s="21" t="s">
        <v>46</v>
      </c>
      <c r="L41" s="22">
        <f>SUMIF(Dataset!$D$2:$D$301,K41,Dataset!$P$2:$P$301)</f>
        <v>127153</v>
      </c>
      <c r="M41" s="23">
        <f>SUM(L$32:L41)/SUM(L$32:L$44)</f>
        <v>0.77056862618114663</v>
      </c>
    </row>
    <row r="42" spans="2:21" x14ac:dyDescent="0.3">
      <c r="E42" s="21" t="s">
        <v>74</v>
      </c>
      <c r="F42" s="22">
        <f>SUMIF(Dataset!$H$2:$H$301,E42,Dataset!$Q$2:$Q$301)</f>
        <v>0</v>
      </c>
      <c r="G42" s="22">
        <f>SUM(F$32:F42)</f>
        <v>499067</v>
      </c>
      <c r="H42" s="22">
        <f>SUMIF(Dataset!$H$2:$H$301,E42,Dataset!$P$2:$P$301)</f>
        <v>60842</v>
      </c>
      <c r="I42" s="22">
        <f>SUM(H$32:H42)</f>
        <v>1009844</v>
      </c>
      <c r="K42" s="21" t="s">
        <v>75</v>
      </c>
      <c r="L42" s="22">
        <f>SUMIF(Dataset!$D$2:$D$301,K42,Dataset!$P$2:$P$301)</f>
        <v>117417</v>
      </c>
      <c r="M42" s="23">
        <f>SUM(L$32:L42)/SUM(L$32:L$44)</f>
        <v>0.84896144553055375</v>
      </c>
    </row>
    <row r="43" spans="2:21" x14ac:dyDescent="0.3">
      <c r="E43" s="21" t="s">
        <v>78</v>
      </c>
      <c r="F43" s="22">
        <f>SUMIF(Dataset!$H$2:$H$301,E43,Dataset!$Q$2:$Q$301)</f>
        <v>0</v>
      </c>
      <c r="G43" s="22">
        <f>SUM(F$32:F43)</f>
        <v>499067</v>
      </c>
      <c r="H43" s="22">
        <f>SUMIF(Dataset!$H$2:$H$301,E43,Dataset!$P$2:$P$301)</f>
        <v>82297</v>
      </c>
      <c r="I43" s="22">
        <f>SUM(H$32:H43)</f>
        <v>1092141</v>
      </c>
      <c r="K43" s="21" t="s">
        <v>71</v>
      </c>
      <c r="L43" s="22">
        <f>SUMIF(Dataset!$D$2:$D$301,K43,Dataset!$P$2:$P$301)</f>
        <v>116224</v>
      </c>
      <c r="M43" s="23">
        <f>SUM(L$32:L43)/SUM(L$32:L$44)</f>
        <v>0.92655776493971509</v>
      </c>
    </row>
    <row r="44" spans="2:21" x14ac:dyDescent="0.3">
      <c r="E44" s="21" t="s">
        <v>81</v>
      </c>
      <c r="F44" s="22">
        <f>SUMIF(Dataset!$H$2:$H$301,E44,Dataset!$Q$2:$Q$301)</f>
        <v>0</v>
      </c>
      <c r="G44" s="22">
        <f>SUM(F$32:F44)</f>
        <v>499067</v>
      </c>
      <c r="H44" s="22">
        <f>SUMIF(Dataset!$H$2:$H$301,E44,Dataset!$P$2:$P$301)</f>
        <v>114337</v>
      </c>
      <c r="I44" s="22">
        <f>SUM(H$32:H44)</f>
        <v>1206478</v>
      </c>
      <c r="K44" s="21" t="s">
        <v>82</v>
      </c>
      <c r="L44" s="22">
        <f>SUMIF(Dataset!$D$2:$D$301,K44,Dataset!$P$2:$P$301)</f>
        <v>110002</v>
      </c>
      <c r="M44" s="23">
        <f>SUM(L$32:L44)/SUM(L$32:L$44)</f>
        <v>1</v>
      </c>
    </row>
    <row r="45" spans="2:21" x14ac:dyDescent="0.3">
      <c r="E45" s="21" t="s">
        <v>83</v>
      </c>
      <c r="F45" s="22">
        <f>SUMIF(Dataset!$H$2:$H$301,E45,Dataset!$Q$2:$Q$301)</f>
        <v>6060</v>
      </c>
      <c r="G45" s="22">
        <f>SUM(F$32:F45)</f>
        <v>505127</v>
      </c>
      <c r="H45" s="22">
        <f>SUMIF(Dataset!$H$2:$H$301,E45,Dataset!$P$2:$P$301)</f>
        <v>61154</v>
      </c>
      <c r="I45" s="22">
        <f>SUM(H$32:H45)</f>
        <v>1267632</v>
      </c>
      <c r="K45" s="21" t="s">
        <v>87</v>
      </c>
      <c r="L45" s="22">
        <f>SUMIF(Dataset!$D$2:$D$301,K45,Dataset!$P$2:$P$301)</f>
        <v>103354</v>
      </c>
      <c r="M45" s="23">
        <f>SUM(L$32:L45)/SUM(L$32:L$44)</f>
        <v>1.0690037341359311</v>
      </c>
    </row>
    <row r="46" spans="2:21" x14ac:dyDescent="0.3">
      <c r="E46" s="21" t="s">
        <v>86</v>
      </c>
      <c r="F46" s="22">
        <f>SUMIF(Dataset!$H$2:$H$301,E46,Dataset!$Q$2:$Q$301)</f>
        <v>0</v>
      </c>
      <c r="G46" s="22">
        <f>SUM(F$32:F46)</f>
        <v>505127</v>
      </c>
      <c r="H46" s="22">
        <f>SUMIF(Dataset!$H$2:$H$301,E46,Dataset!$P$2:$P$301)</f>
        <v>50053</v>
      </c>
      <c r="I46" s="22">
        <f>SUM(H$32:H46)</f>
        <v>1317685</v>
      </c>
      <c r="K46" s="21" t="s">
        <v>84</v>
      </c>
      <c r="L46" s="22">
        <f>SUMIF(Dataset!$D$2:$D$301,K46,Dataset!$P$2:$P$301)</f>
        <v>86123</v>
      </c>
      <c r="M46" s="23">
        <f>SUM(L$32:L46)/SUM(L$32:L$44)</f>
        <v>1.1265032851449757</v>
      </c>
    </row>
    <row r="47" spans="2:21" x14ac:dyDescent="0.3">
      <c r="E47" s="21" t="s">
        <v>89</v>
      </c>
      <c r="F47" s="22">
        <f>SUMIF(Dataset!$H$2:$H$301,E47,Dataset!$Q$2:$Q$301)</f>
        <v>4190</v>
      </c>
      <c r="G47" s="22">
        <f>SUM(F$32:F47)</f>
        <v>509317</v>
      </c>
      <c r="H47" s="22">
        <f>SUMIF(Dataset!$H$2:$H$301,E47,Dataset!$P$2:$P$301)</f>
        <v>92373</v>
      </c>
      <c r="I47" s="22">
        <f>SUM(H$32:H47)</f>
        <v>1410058</v>
      </c>
    </row>
    <row r="48" spans="2:21" x14ac:dyDescent="0.3">
      <c r="E48" s="21" t="s">
        <v>91</v>
      </c>
      <c r="F48" s="22">
        <f>SUMIF(Dataset!$H$2:$H$301,E48,Dataset!$Q$2:$Q$301)</f>
        <v>0</v>
      </c>
      <c r="G48" s="22">
        <f>SUM(F$32:F48)</f>
        <v>509317</v>
      </c>
      <c r="H48" s="22">
        <f>SUMIF(Dataset!$H$2:$H$301,E48,Dataset!$P$2:$P$301)</f>
        <v>72955</v>
      </c>
      <c r="I48" s="22">
        <f>SUM(H$32:H48)</f>
        <v>1483013</v>
      </c>
    </row>
    <row r="49" spans="2:9" x14ac:dyDescent="0.3">
      <c r="E49" s="21" t="s">
        <v>93</v>
      </c>
      <c r="F49" s="22">
        <f>SUMIF(Dataset!$H$2:$H$301,E49,Dataset!$Q$2:$Q$301)</f>
        <v>0</v>
      </c>
      <c r="G49" s="22">
        <f>SUM(F$32:F49)</f>
        <v>509317</v>
      </c>
      <c r="H49" s="22">
        <f>SUMIF(Dataset!$H$2:$H$301,E49,Dataset!$P$2:$P$301)</f>
        <v>40492</v>
      </c>
      <c r="I49" s="22">
        <f>SUM(H$32:H49)</f>
        <v>1523505</v>
      </c>
    </row>
    <row r="50" spans="2:9" x14ac:dyDescent="0.3">
      <c r="E50" s="21" t="s">
        <v>94</v>
      </c>
      <c r="F50" s="22">
        <f>SUMIF(Dataset!$H$2:$H$301,E50,Dataset!$Q$2:$Q$301)</f>
        <v>0</v>
      </c>
      <c r="G50" s="22">
        <f>SUM(F$32:F50)</f>
        <v>509317</v>
      </c>
      <c r="H50" s="22">
        <f>SUMIF(Dataset!$H$2:$H$301,E50,Dataset!$P$2:$P$301)</f>
        <v>60409</v>
      </c>
      <c r="I50" s="22">
        <f>SUM(H$32:H50)</f>
        <v>1583914</v>
      </c>
    </row>
    <row r="51" spans="2:9" x14ac:dyDescent="0.3">
      <c r="E51" s="21" t="s">
        <v>96</v>
      </c>
      <c r="F51" s="22">
        <f>SUMIF(Dataset!$H$2:$H$301,E51,Dataset!$Q$2:$Q$301)</f>
        <v>9104</v>
      </c>
      <c r="G51" s="22">
        <f>SUM(F$32:F51)</f>
        <v>518421</v>
      </c>
      <c r="H51" s="22">
        <f>SUMIF(Dataset!$H$2:$H$301,E51,Dataset!$P$2:$P$301)</f>
        <v>25019</v>
      </c>
      <c r="I51" s="22">
        <f>SUM(H$32:H51)</f>
        <v>1608933</v>
      </c>
    </row>
    <row r="52" spans="2:9" x14ac:dyDescent="0.3">
      <c r="E52" s="21" t="s">
        <v>97</v>
      </c>
      <c r="F52" s="22">
        <f>SUMIF(Dataset!$H$2:$H$301,E52,Dataset!$Q$2:$Q$301)</f>
        <v>0</v>
      </c>
      <c r="G52" s="22">
        <f>SUM(F$32:F52)</f>
        <v>518421</v>
      </c>
      <c r="H52" s="22">
        <f>SUMIF(Dataset!$H$2:$H$301,E52,Dataset!$P$2:$P$301)</f>
        <v>24450</v>
      </c>
      <c r="I52" s="22">
        <f>SUM(H$32:H52)</f>
        <v>1633383</v>
      </c>
    </row>
    <row r="53" spans="2:9" x14ac:dyDescent="0.3">
      <c r="E53" s="21" t="s">
        <v>98</v>
      </c>
      <c r="F53" s="22">
        <f>SUMIF(Dataset!$H$2:$H$301,E53,Dataset!$Q$2:$Q$301)</f>
        <v>0</v>
      </c>
      <c r="G53" s="22">
        <f>SUM(F$32:F53)</f>
        <v>518421</v>
      </c>
      <c r="H53" s="22">
        <f>SUMIF(Dataset!$H$2:$H$301,E53,Dataset!$P$2:$P$301)</f>
        <v>37117</v>
      </c>
      <c r="I53" s="22">
        <f>SUM(H$32:H53)</f>
        <v>1670500</v>
      </c>
    </row>
    <row r="54" spans="2:9" x14ac:dyDescent="0.3">
      <c r="E54" s="21" t="s">
        <v>99</v>
      </c>
      <c r="F54" s="22">
        <f>SUMIF(Dataset!$H$2:$H$301,E54,Dataset!$Q$2:$Q$301)</f>
        <v>0</v>
      </c>
      <c r="G54" s="22">
        <f>SUM(F$32:F54)</f>
        <v>518421</v>
      </c>
      <c r="H54" s="22">
        <f>SUMIF(Dataset!$H$2:$H$301,E54,Dataset!$P$2:$P$301)</f>
        <v>16780</v>
      </c>
      <c r="I54" s="22">
        <f>SUM(H$32:H54)</f>
        <v>1687280</v>
      </c>
    </row>
    <row r="56" spans="2:9" x14ac:dyDescent="0.3">
      <c r="B56" s="2" t="s">
        <v>652</v>
      </c>
    </row>
    <row r="57" spans="2:9" x14ac:dyDescent="0.3">
      <c r="B57" s="3" t="s">
        <v>653</v>
      </c>
      <c r="C57" s="3" t="s">
        <v>24</v>
      </c>
      <c r="D57" s="3" t="s">
        <v>30</v>
      </c>
      <c r="E57" s="3" t="s">
        <v>654</v>
      </c>
      <c r="F57" s="3" t="s">
        <v>655</v>
      </c>
    </row>
    <row r="58" spans="2:9" x14ac:dyDescent="0.3">
      <c r="B58" s="21" t="s">
        <v>70</v>
      </c>
      <c r="C58">
        <f>COUNTIF(Dataset!$N$2:$N$301,B58)</f>
        <v>16</v>
      </c>
      <c r="D58">
        <f>COUNTIFS(Dataset!$N$2:$N$301,B58,Dataset!$M$2:$M$301,"Completed")</f>
        <v>7</v>
      </c>
      <c r="E58" s="23">
        <f t="shared" ref="E58:E65" si="0">D58/C58</f>
        <v>0.4375</v>
      </c>
      <c r="F58" s="24">
        <f>SUMIF(Dataset!$N$2:$N$301,B58,Dataset!$O$2:$O$301)/C58</f>
        <v>21.0625</v>
      </c>
    </row>
    <row r="59" spans="2:9" x14ac:dyDescent="0.3">
      <c r="B59" s="21" t="s">
        <v>61</v>
      </c>
      <c r="C59">
        <f>COUNTIF(Dataset!$N$2:$N$301,B59)</f>
        <v>25</v>
      </c>
      <c r="D59">
        <f>COUNTIFS(Dataset!$N$2:$N$301,B59,Dataset!$M$2:$M$301,"Completed")</f>
        <v>9</v>
      </c>
      <c r="E59" s="23">
        <f t="shared" si="0"/>
        <v>0.36</v>
      </c>
      <c r="F59" s="24">
        <f>SUMIF(Dataset!$N$2:$N$301,B59,Dataset!$O$2:$O$301)/C59</f>
        <v>18.920000000000002</v>
      </c>
    </row>
    <row r="60" spans="2:9" x14ac:dyDescent="0.3">
      <c r="B60" s="21" t="s">
        <v>45</v>
      </c>
      <c r="C60">
        <f>COUNTIF(Dataset!$N$2:$N$301,B60)</f>
        <v>42</v>
      </c>
      <c r="D60">
        <f>COUNTIFS(Dataset!$N$2:$N$301,B60,Dataset!$M$2:$M$301,"Completed")</f>
        <v>13</v>
      </c>
      <c r="E60" s="23">
        <f t="shared" si="0"/>
        <v>0.30952380952380953</v>
      </c>
      <c r="F60" s="24">
        <f>SUMIF(Dataset!$N$2:$N$301,B60,Dataset!$O$2:$O$301)/C60</f>
        <v>21.047619047619047</v>
      </c>
    </row>
    <row r="61" spans="2:9" x14ac:dyDescent="0.3">
      <c r="B61" s="21" t="s">
        <v>56</v>
      </c>
      <c r="C61">
        <f>COUNTIF(Dataset!$N$2:$N$301,B61)</f>
        <v>39</v>
      </c>
      <c r="D61">
        <f>COUNTIFS(Dataset!$N$2:$N$301,B61,Dataset!$M$2:$M$301,"Completed")</f>
        <v>11</v>
      </c>
      <c r="E61" s="23">
        <f t="shared" si="0"/>
        <v>0.28205128205128205</v>
      </c>
      <c r="F61" s="24">
        <f>SUMIF(Dataset!$N$2:$N$301,B61,Dataset!$O$2:$O$301)/C61</f>
        <v>15.589743589743589</v>
      </c>
    </row>
    <row r="62" spans="2:9" x14ac:dyDescent="0.3">
      <c r="B62" s="21" t="s">
        <v>33</v>
      </c>
      <c r="C62">
        <f>COUNTIF(Dataset!$N$2:$N$301,B62)</f>
        <v>60</v>
      </c>
      <c r="D62">
        <f>COUNTIFS(Dataset!$N$2:$N$301,B62,Dataset!$M$2:$M$301,"Completed")</f>
        <v>16</v>
      </c>
      <c r="E62" s="23">
        <f t="shared" si="0"/>
        <v>0.26666666666666666</v>
      </c>
      <c r="F62" s="24">
        <f>SUMIF(Dataset!$N$2:$N$301,B62,Dataset!$O$2:$O$301)/C62</f>
        <v>20.733333333333334</v>
      </c>
    </row>
    <row r="63" spans="2:9" x14ac:dyDescent="0.3">
      <c r="B63" s="21" t="s">
        <v>66</v>
      </c>
      <c r="C63">
        <f>COUNTIF(Dataset!$N$2:$N$301,B63)</f>
        <v>26</v>
      </c>
      <c r="D63">
        <f>COUNTIFS(Dataset!$N$2:$N$301,B63,Dataset!$M$2:$M$301,"Completed")</f>
        <v>7</v>
      </c>
      <c r="E63" s="23">
        <f t="shared" si="0"/>
        <v>0.26923076923076922</v>
      </c>
      <c r="F63" s="24">
        <f>SUMIF(Dataset!$N$2:$N$301,B63,Dataset!$O$2:$O$301)/C63</f>
        <v>16.76923076923077</v>
      </c>
    </row>
    <row r="64" spans="2:9" x14ac:dyDescent="0.3">
      <c r="B64" s="21" t="s">
        <v>39</v>
      </c>
      <c r="C64">
        <f>COUNTIF(Dataset!$N$2:$N$301,B64)</f>
        <v>54</v>
      </c>
      <c r="D64">
        <f>COUNTIFS(Dataset!$N$2:$N$301,B64,Dataset!$M$2:$M$301,"Completed")</f>
        <v>14</v>
      </c>
      <c r="E64" s="23">
        <f t="shared" si="0"/>
        <v>0.25925925925925924</v>
      </c>
      <c r="F64" s="24">
        <f>SUMIF(Dataset!$N$2:$N$301,B64,Dataset!$O$2:$O$301)/C64</f>
        <v>19.62962962962963</v>
      </c>
    </row>
    <row r="65" spans="2:6" x14ac:dyDescent="0.3">
      <c r="B65" s="21" t="s">
        <v>51</v>
      </c>
      <c r="C65">
        <f>COUNTIF(Dataset!$N$2:$N$301,B65)</f>
        <v>38</v>
      </c>
      <c r="D65">
        <f>COUNTIFS(Dataset!$N$2:$N$301,B65,Dataset!$M$2:$M$301,"Completed")</f>
        <v>10</v>
      </c>
      <c r="E65" s="23">
        <f t="shared" si="0"/>
        <v>0.26315789473684209</v>
      </c>
      <c r="F65" s="24">
        <f>SUMIF(Dataset!$N$2:$N$301,B65,Dataset!$O$2:$O$301)/C65</f>
        <v>18.973684210526315</v>
      </c>
    </row>
  </sheetData>
  <sortState xmlns:xlrd2="http://schemas.microsoft.com/office/spreadsheetml/2017/richdata2" ref="Q3:T10">
    <sortCondition ref="S7:S10"/>
  </sortState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1"/>
  <sheetViews>
    <sheetView showGridLines="0" tabSelected="1" zoomScaleNormal="100" workbookViewId="0">
      <pane ySplit="1" topLeftCell="A2" activePane="bottomLeft" state="frozen"/>
      <selection pane="bottomLeft" activeCell="V17" sqref="V17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13" customWidth="1"/>
    <col min="5" max="7" width="11" customWidth="1"/>
    <col min="8" max="8" width="10" customWidth="1"/>
    <col min="9" max="9" width="13" customWidth="1"/>
    <col min="10" max="10" width="9" customWidth="1"/>
    <col min="11" max="11" width="8" customWidth="1"/>
    <col min="12" max="12" width="38" customWidth="1"/>
    <col min="13" max="14" width="12" customWidth="1"/>
    <col min="15" max="15" width="7" customWidth="1"/>
    <col min="16" max="17" width="11" customWidth="1"/>
    <col min="18" max="18" width="9" customWidth="1"/>
  </cols>
  <sheetData>
    <row r="1" spans="1:23" ht="27.6" x14ac:dyDescent="0.3">
      <c r="A1" s="11" t="s">
        <v>100</v>
      </c>
      <c r="B1" s="11" t="s">
        <v>101</v>
      </c>
      <c r="C1" s="11" t="s">
        <v>19</v>
      </c>
      <c r="D1" s="11" t="s">
        <v>27</v>
      </c>
      <c r="E1" s="11" t="s">
        <v>102</v>
      </c>
      <c r="F1" s="11" t="s">
        <v>103</v>
      </c>
      <c r="G1" s="11" t="s">
        <v>20</v>
      </c>
      <c r="H1" s="11" t="s">
        <v>104</v>
      </c>
      <c r="I1" s="11" t="s">
        <v>16</v>
      </c>
      <c r="J1" s="11" t="s">
        <v>85</v>
      </c>
      <c r="K1" s="11" t="s">
        <v>105</v>
      </c>
      <c r="L1" s="11" t="s">
        <v>106</v>
      </c>
      <c r="M1" s="11" t="s">
        <v>64</v>
      </c>
      <c r="N1" s="11" t="s">
        <v>107</v>
      </c>
      <c r="O1" s="11" t="s">
        <v>108</v>
      </c>
      <c r="P1" s="11" t="s">
        <v>22</v>
      </c>
      <c r="Q1" s="11" t="s">
        <v>21</v>
      </c>
      <c r="R1" s="11" t="s">
        <v>109</v>
      </c>
      <c r="S1" s="11" t="s">
        <v>656</v>
      </c>
      <c r="T1" s="11" t="s">
        <v>657</v>
      </c>
      <c r="U1" s="11" t="s">
        <v>658</v>
      </c>
      <c r="V1" s="11" t="s">
        <v>659</v>
      </c>
      <c r="W1" s="11" t="s">
        <v>660</v>
      </c>
    </row>
    <row r="2" spans="1:23" x14ac:dyDescent="0.3">
      <c r="A2" s="12" t="s">
        <v>110</v>
      </c>
      <c r="B2" s="12" t="s">
        <v>111</v>
      </c>
      <c r="C2" s="12" t="s">
        <v>31</v>
      </c>
      <c r="D2" s="12" t="s">
        <v>57</v>
      </c>
      <c r="E2" s="13">
        <v>45494</v>
      </c>
      <c r="F2" s="13">
        <v>45512</v>
      </c>
      <c r="G2" s="13">
        <v>45505</v>
      </c>
      <c r="H2" s="12" t="s">
        <v>65</v>
      </c>
      <c r="I2" s="12" t="s">
        <v>42</v>
      </c>
      <c r="J2" s="12" t="s">
        <v>90</v>
      </c>
      <c r="K2" s="12" t="s">
        <v>112</v>
      </c>
      <c r="L2" s="12" t="s">
        <v>113</v>
      </c>
      <c r="M2" s="12" t="s">
        <v>73</v>
      </c>
      <c r="N2" s="12" t="s">
        <v>61</v>
      </c>
      <c r="O2" s="12">
        <v>12</v>
      </c>
      <c r="P2" s="14">
        <v>9621</v>
      </c>
      <c r="Q2" s="14">
        <v>0</v>
      </c>
      <c r="R2" s="15">
        <v>0.24</v>
      </c>
      <c r="S2">
        <f>F2-E2</f>
        <v>18</v>
      </c>
      <c r="T2">
        <f>R2*P2</f>
        <v>2309.04</v>
      </c>
      <c r="U2" t="str">
        <f>IF(AND(Q2&gt;0,Q2&gt;P2),"Yes","No")</f>
        <v>No</v>
      </c>
      <c r="V2">
        <f>IF(U2="Yes",Q2-P2,0)</f>
        <v>0</v>
      </c>
      <c r="W2" t="str">
        <f>IF(Q2&gt;0,"Yes","No")</f>
        <v>No</v>
      </c>
    </row>
    <row r="3" spans="1:23" x14ac:dyDescent="0.3">
      <c r="A3" s="5" t="s">
        <v>110</v>
      </c>
      <c r="B3" s="5" t="s">
        <v>111</v>
      </c>
      <c r="C3" s="5" t="s">
        <v>31</v>
      </c>
      <c r="D3" s="5" t="s">
        <v>75</v>
      </c>
      <c r="E3" s="16">
        <v>45494</v>
      </c>
      <c r="F3" s="16">
        <v>45516</v>
      </c>
      <c r="G3" s="16">
        <v>45505</v>
      </c>
      <c r="H3" s="5" t="s">
        <v>65</v>
      </c>
      <c r="I3" s="5" t="s">
        <v>42</v>
      </c>
      <c r="J3" s="5" t="s">
        <v>88</v>
      </c>
      <c r="K3" s="5" t="s">
        <v>114</v>
      </c>
      <c r="L3" s="5" t="s">
        <v>115</v>
      </c>
      <c r="M3" s="5" t="s">
        <v>73</v>
      </c>
      <c r="N3" s="5" t="s">
        <v>33</v>
      </c>
      <c r="O3" s="5">
        <v>4</v>
      </c>
      <c r="P3" s="7">
        <v>7814</v>
      </c>
      <c r="Q3" s="7">
        <v>0</v>
      </c>
      <c r="R3" s="17">
        <v>0.56000000000000005</v>
      </c>
      <c r="S3">
        <f t="shared" ref="S3:S66" si="0">F3-E3</f>
        <v>22</v>
      </c>
      <c r="T3">
        <f t="shared" ref="T3:T66" si="1">R3*P3</f>
        <v>4375.84</v>
      </c>
      <c r="U3" t="str">
        <f t="shared" ref="U3:U66" si="2">IF(AND(Q3&gt;0,Q3&gt;P3),"Yes","No")</f>
        <v>No</v>
      </c>
      <c r="V3">
        <f t="shared" ref="V3:V66" si="3">IF(U3="Yes",Q3-P3,0)</f>
        <v>0</v>
      </c>
      <c r="W3" t="str">
        <f t="shared" ref="W3:W66" si="4">IF(Q3&gt;0,"Yes","No")</f>
        <v>No</v>
      </c>
    </row>
    <row r="4" spans="1:23" x14ac:dyDescent="0.3">
      <c r="A4" s="12" t="s">
        <v>110</v>
      </c>
      <c r="B4" s="12" t="s">
        <v>111</v>
      </c>
      <c r="C4" s="12" t="s">
        <v>31</v>
      </c>
      <c r="D4" s="12" t="s">
        <v>62</v>
      </c>
      <c r="E4" s="13">
        <v>45494</v>
      </c>
      <c r="F4" s="13">
        <v>45514</v>
      </c>
      <c r="G4" s="13">
        <v>45505</v>
      </c>
      <c r="H4" s="12" t="s">
        <v>65</v>
      </c>
      <c r="I4" s="12" t="s">
        <v>42</v>
      </c>
      <c r="J4" s="12" t="s">
        <v>88</v>
      </c>
      <c r="K4" s="12" t="s">
        <v>116</v>
      </c>
      <c r="L4" s="12" t="s">
        <v>117</v>
      </c>
      <c r="M4" s="12" t="s">
        <v>30</v>
      </c>
      <c r="N4" s="12" t="s">
        <v>33</v>
      </c>
      <c r="O4" s="12">
        <v>5</v>
      </c>
      <c r="P4" s="14">
        <v>1028</v>
      </c>
      <c r="Q4" s="14">
        <v>1011</v>
      </c>
      <c r="R4" s="15">
        <v>1</v>
      </c>
      <c r="S4">
        <f t="shared" si="0"/>
        <v>20</v>
      </c>
      <c r="T4">
        <f t="shared" si="1"/>
        <v>1028</v>
      </c>
      <c r="U4" t="str">
        <f t="shared" si="2"/>
        <v>No</v>
      </c>
      <c r="V4">
        <f t="shared" si="3"/>
        <v>0</v>
      </c>
      <c r="W4" t="str">
        <f t="shared" si="4"/>
        <v>Yes</v>
      </c>
    </row>
    <row r="5" spans="1:23" x14ac:dyDescent="0.3">
      <c r="A5" s="5" t="s">
        <v>118</v>
      </c>
      <c r="B5" s="5" t="s">
        <v>119</v>
      </c>
      <c r="C5" s="5" t="s">
        <v>37</v>
      </c>
      <c r="D5" s="5" t="s">
        <v>46</v>
      </c>
      <c r="E5" s="16">
        <v>45388</v>
      </c>
      <c r="F5" s="16">
        <v>45850</v>
      </c>
      <c r="G5" s="16">
        <v>45839</v>
      </c>
      <c r="H5" s="5" t="s">
        <v>96</v>
      </c>
      <c r="I5" s="5" t="s">
        <v>36</v>
      </c>
      <c r="J5" s="5" t="s">
        <v>88</v>
      </c>
      <c r="K5" s="5" t="s">
        <v>112</v>
      </c>
      <c r="L5" s="5" t="s">
        <v>120</v>
      </c>
      <c r="M5" s="5" t="s">
        <v>77</v>
      </c>
      <c r="N5" s="5" t="s">
        <v>33</v>
      </c>
      <c r="O5" s="5">
        <v>24</v>
      </c>
      <c r="P5" s="7">
        <v>1530</v>
      </c>
      <c r="Q5" s="7">
        <v>0</v>
      </c>
      <c r="R5" s="17">
        <v>0.33</v>
      </c>
      <c r="S5">
        <f t="shared" si="0"/>
        <v>462</v>
      </c>
      <c r="T5">
        <f t="shared" si="1"/>
        <v>504.90000000000003</v>
      </c>
      <c r="U5" t="str">
        <f t="shared" si="2"/>
        <v>No</v>
      </c>
      <c r="V5">
        <f t="shared" si="3"/>
        <v>0</v>
      </c>
      <c r="W5" t="str">
        <f t="shared" si="4"/>
        <v>No</v>
      </c>
    </row>
    <row r="6" spans="1:23" x14ac:dyDescent="0.3">
      <c r="A6" s="12" t="s">
        <v>118</v>
      </c>
      <c r="B6" s="12" t="s">
        <v>119</v>
      </c>
      <c r="C6" s="12" t="s">
        <v>37</v>
      </c>
      <c r="D6" s="12" t="s">
        <v>71</v>
      </c>
      <c r="E6" s="13">
        <v>45388</v>
      </c>
      <c r="F6" s="13">
        <v>45834</v>
      </c>
      <c r="G6" s="13">
        <v>45809</v>
      </c>
      <c r="H6" s="12" t="s">
        <v>94</v>
      </c>
      <c r="I6" s="12" t="s">
        <v>36</v>
      </c>
      <c r="J6" s="12" t="s">
        <v>90</v>
      </c>
      <c r="K6" s="12" t="s">
        <v>114</v>
      </c>
      <c r="L6" s="12" t="s">
        <v>121</v>
      </c>
      <c r="M6" s="12" t="s">
        <v>77</v>
      </c>
      <c r="N6" s="12" t="s">
        <v>33</v>
      </c>
      <c r="O6" s="12">
        <v>26</v>
      </c>
      <c r="P6" s="14">
        <v>7201</v>
      </c>
      <c r="Q6" s="14">
        <v>0</v>
      </c>
      <c r="R6" s="15">
        <v>0.32</v>
      </c>
      <c r="S6">
        <f t="shared" si="0"/>
        <v>446</v>
      </c>
      <c r="T6">
        <f t="shared" si="1"/>
        <v>2304.3200000000002</v>
      </c>
      <c r="U6" t="str">
        <f t="shared" si="2"/>
        <v>No</v>
      </c>
      <c r="V6">
        <f t="shared" si="3"/>
        <v>0</v>
      </c>
      <c r="W6" t="str">
        <f t="shared" si="4"/>
        <v>No</v>
      </c>
    </row>
    <row r="7" spans="1:23" x14ac:dyDescent="0.3">
      <c r="A7" s="5" t="s">
        <v>118</v>
      </c>
      <c r="B7" s="5" t="s">
        <v>119</v>
      </c>
      <c r="C7" s="5" t="s">
        <v>37</v>
      </c>
      <c r="D7" s="5" t="s">
        <v>79</v>
      </c>
      <c r="E7" s="16">
        <v>45388</v>
      </c>
      <c r="F7" s="16">
        <v>45741</v>
      </c>
      <c r="G7" s="16">
        <v>45717</v>
      </c>
      <c r="H7" s="5" t="s">
        <v>89</v>
      </c>
      <c r="I7" s="5" t="s">
        <v>36</v>
      </c>
      <c r="J7" s="5" t="s">
        <v>92</v>
      </c>
      <c r="K7" s="5" t="s">
        <v>116</v>
      </c>
      <c r="L7" s="5" t="s">
        <v>122</v>
      </c>
      <c r="M7" s="5" t="s">
        <v>73</v>
      </c>
      <c r="N7" s="5" t="s">
        <v>39</v>
      </c>
      <c r="O7" s="5">
        <v>28</v>
      </c>
      <c r="P7" s="7">
        <v>9814</v>
      </c>
      <c r="Q7" s="7">
        <v>0</v>
      </c>
      <c r="R7" s="17">
        <v>0.28999999999999998</v>
      </c>
      <c r="S7">
        <f t="shared" si="0"/>
        <v>353</v>
      </c>
      <c r="T7">
        <f t="shared" si="1"/>
        <v>2846.06</v>
      </c>
      <c r="U7" t="str">
        <f t="shared" si="2"/>
        <v>No</v>
      </c>
      <c r="V7">
        <f t="shared" si="3"/>
        <v>0</v>
      </c>
      <c r="W7" t="str">
        <f t="shared" si="4"/>
        <v>No</v>
      </c>
    </row>
    <row r="8" spans="1:23" x14ac:dyDescent="0.3">
      <c r="A8" s="12" t="s">
        <v>123</v>
      </c>
      <c r="B8" s="12" t="s">
        <v>124</v>
      </c>
      <c r="C8" s="12" t="s">
        <v>43</v>
      </c>
      <c r="D8" s="12" t="s">
        <v>46</v>
      </c>
      <c r="E8" s="13">
        <v>45493</v>
      </c>
      <c r="F8" s="13">
        <v>45526</v>
      </c>
      <c r="G8" s="13">
        <v>45505</v>
      </c>
      <c r="H8" s="12" t="s">
        <v>65</v>
      </c>
      <c r="I8" s="12" t="s">
        <v>30</v>
      </c>
      <c r="J8" s="12" t="s">
        <v>92</v>
      </c>
      <c r="K8" s="12" t="s">
        <v>112</v>
      </c>
      <c r="L8" s="12" t="s">
        <v>125</v>
      </c>
      <c r="M8" s="12" t="s">
        <v>30</v>
      </c>
      <c r="N8" s="12" t="s">
        <v>51</v>
      </c>
      <c r="O8" s="12">
        <v>7</v>
      </c>
      <c r="P8" s="14">
        <v>7981</v>
      </c>
      <c r="Q8" s="14">
        <v>7717</v>
      </c>
      <c r="R8" s="15">
        <v>1</v>
      </c>
      <c r="S8">
        <f t="shared" si="0"/>
        <v>33</v>
      </c>
      <c r="T8">
        <f t="shared" si="1"/>
        <v>7981</v>
      </c>
      <c r="U8" t="str">
        <f t="shared" si="2"/>
        <v>No</v>
      </c>
      <c r="V8">
        <f t="shared" si="3"/>
        <v>0</v>
      </c>
      <c r="W8" t="str">
        <f t="shared" si="4"/>
        <v>Yes</v>
      </c>
    </row>
    <row r="9" spans="1:23" x14ac:dyDescent="0.3">
      <c r="A9" s="5" t="s">
        <v>123</v>
      </c>
      <c r="B9" s="5" t="s">
        <v>124</v>
      </c>
      <c r="C9" s="5" t="s">
        <v>43</v>
      </c>
      <c r="D9" s="5" t="s">
        <v>34</v>
      </c>
      <c r="E9" s="16">
        <v>45493</v>
      </c>
      <c r="F9" s="16">
        <v>45560</v>
      </c>
      <c r="G9" s="16">
        <v>45536</v>
      </c>
      <c r="H9" s="5" t="s">
        <v>69</v>
      </c>
      <c r="I9" s="5" t="s">
        <v>30</v>
      </c>
      <c r="J9" s="5" t="s">
        <v>90</v>
      </c>
      <c r="K9" s="5" t="s">
        <v>114</v>
      </c>
      <c r="L9" s="5" t="s">
        <v>126</v>
      </c>
      <c r="M9" s="5" t="s">
        <v>30</v>
      </c>
      <c r="N9" s="5" t="s">
        <v>70</v>
      </c>
      <c r="O9" s="5">
        <v>23</v>
      </c>
      <c r="P9" s="7">
        <v>1032</v>
      </c>
      <c r="Q9" s="7">
        <v>637</v>
      </c>
      <c r="R9" s="17">
        <v>1</v>
      </c>
      <c r="S9">
        <f t="shared" si="0"/>
        <v>67</v>
      </c>
      <c r="T9">
        <f t="shared" si="1"/>
        <v>1032</v>
      </c>
      <c r="U9" t="str">
        <f t="shared" si="2"/>
        <v>No</v>
      </c>
      <c r="V9">
        <f t="shared" si="3"/>
        <v>0</v>
      </c>
      <c r="W9" t="str">
        <f t="shared" si="4"/>
        <v>Yes</v>
      </c>
    </row>
    <row r="10" spans="1:23" x14ac:dyDescent="0.3">
      <c r="A10" s="12" t="s">
        <v>123</v>
      </c>
      <c r="B10" s="12" t="s">
        <v>124</v>
      </c>
      <c r="C10" s="12" t="s">
        <v>43</v>
      </c>
      <c r="D10" s="12" t="s">
        <v>62</v>
      </c>
      <c r="E10" s="13">
        <v>45493</v>
      </c>
      <c r="F10" s="13">
        <v>45526</v>
      </c>
      <c r="G10" s="13">
        <v>45505</v>
      </c>
      <c r="H10" s="12" t="s">
        <v>65</v>
      </c>
      <c r="I10" s="12" t="s">
        <v>30</v>
      </c>
      <c r="J10" s="12" t="s">
        <v>90</v>
      </c>
      <c r="K10" s="12" t="s">
        <v>116</v>
      </c>
      <c r="L10" s="12" t="s">
        <v>127</v>
      </c>
      <c r="M10" s="12" t="s">
        <v>30</v>
      </c>
      <c r="N10" s="12" t="s">
        <v>51</v>
      </c>
      <c r="O10" s="12">
        <v>13</v>
      </c>
      <c r="P10" s="14">
        <v>8546</v>
      </c>
      <c r="Q10" s="14">
        <v>8502</v>
      </c>
      <c r="R10" s="15">
        <v>1</v>
      </c>
      <c r="S10">
        <f t="shared" si="0"/>
        <v>33</v>
      </c>
      <c r="T10">
        <f t="shared" si="1"/>
        <v>8546</v>
      </c>
      <c r="U10" t="str">
        <f t="shared" si="2"/>
        <v>No</v>
      </c>
      <c r="V10">
        <f t="shared" si="3"/>
        <v>0</v>
      </c>
      <c r="W10" t="str">
        <f t="shared" si="4"/>
        <v>Yes</v>
      </c>
    </row>
    <row r="11" spans="1:23" x14ac:dyDescent="0.3">
      <c r="A11" s="5" t="s">
        <v>128</v>
      </c>
      <c r="B11" s="5" t="s">
        <v>129</v>
      </c>
      <c r="C11" s="5" t="s">
        <v>49</v>
      </c>
      <c r="D11" s="5" t="s">
        <v>46</v>
      </c>
      <c r="E11" s="16">
        <v>45407</v>
      </c>
      <c r="F11" s="16">
        <v>45418</v>
      </c>
      <c r="G11" s="16">
        <v>45413</v>
      </c>
      <c r="H11" s="5" t="s">
        <v>50</v>
      </c>
      <c r="I11" s="5" t="s">
        <v>30</v>
      </c>
      <c r="J11" s="5" t="s">
        <v>90</v>
      </c>
      <c r="K11" s="5" t="s">
        <v>112</v>
      </c>
      <c r="L11" s="5" t="s">
        <v>130</v>
      </c>
      <c r="M11" s="5" t="s">
        <v>30</v>
      </c>
      <c r="N11" s="5" t="s">
        <v>70</v>
      </c>
      <c r="O11" s="5">
        <v>28</v>
      </c>
      <c r="P11" s="7">
        <v>3728</v>
      </c>
      <c r="Q11" s="7">
        <v>3369</v>
      </c>
      <c r="R11" s="17">
        <v>1</v>
      </c>
      <c r="S11">
        <f t="shared" si="0"/>
        <v>11</v>
      </c>
      <c r="T11">
        <f t="shared" si="1"/>
        <v>3728</v>
      </c>
      <c r="U11" t="str">
        <f t="shared" si="2"/>
        <v>No</v>
      </c>
      <c r="V11">
        <f t="shared" si="3"/>
        <v>0</v>
      </c>
      <c r="W11" t="str">
        <f t="shared" si="4"/>
        <v>Yes</v>
      </c>
    </row>
    <row r="12" spans="1:23" x14ac:dyDescent="0.3">
      <c r="A12" s="12" t="s">
        <v>128</v>
      </c>
      <c r="B12" s="12" t="s">
        <v>129</v>
      </c>
      <c r="C12" s="12" t="s">
        <v>49</v>
      </c>
      <c r="D12" s="12" t="s">
        <v>57</v>
      </c>
      <c r="E12" s="13">
        <v>45407</v>
      </c>
      <c r="F12" s="13">
        <v>45417</v>
      </c>
      <c r="G12" s="13">
        <v>45413</v>
      </c>
      <c r="H12" s="12" t="s">
        <v>50</v>
      </c>
      <c r="I12" s="12" t="s">
        <v>30</v>
      </c>
      <c r="J12" s="12" t="s">
        <v>88</v>
      </c>
      <c r="K12" s="12" t="s">
        <v>114</v>
      </c>
      <c r="L12" s="12" t="s">
        <v>131</v>
      </c>
      <c r="M12" s="12" t="s">
        <v>73</v>
      </c>
      <c r="N12" s="12" t="s">
        <v>33</v>
      </c>
      <c r="O12" s="12">
        <v>26</v>
      </c>
      <c r="P12" s="14">
        <v>9707</v>
      </c>
      <c r="Q12" s="14">
        <v>0</v>
      </c>
      <c r="R12" s="15">
        <v>0.99</v>
      </c>
      <c r="S12">
        <f t="shared" si="0"/>
        <v>10</v>
      </c>
      <c r="T12">
        <f t="shared" si="1"/>
        <v>9609.93</v>
      </c>
      <c r="U12" t="str">
        <f t="shared" si="2"/>
        <v>No</v>
      </c>
      <c r="V12">
        <f t="shared" si="3"/>
        <v>0</v>
      </c>
      <c r="W12" t="str">
        <f t="shared" si="4"/>
        <v>No</v>
      </c>
    </row>
    <row r="13" spans="1:23" x14ac:dyDescent="0.3">
      <c r="A13" s="5" t="s">
        <v>128</v>
      </c>
      <c r="B13" s="5" t="s">
        <v>129</v>
      </c>
      <c r="C13" s="5" t="s">
        <v>49</v>
      </c>
      <c r="D13" s="5" t="s">
        <v>57</v>
      </c>
      <c r="E13" s="16">
        <v>45407</v>
      </c>
      <c r="F13" s="16">
        <v>45422</v>
      </c>
      <c r="G13" s="16">
        <v>45413</v>
      </c>
      <c r="H13" s="5" t="s">
        <v>50</v>
      </c>
      <c r="I13" s="5" t="s">
        <v>30</v>
      </c>
      <c r="J13" s="5" t="s">
        <v>90</v>
      </c>
      <c r="K13" s="5" t="s">
        <v>116</v>
      </c>
      <c r="L13" s="5" t="s">
        <v>132</v>
      </c>
      <c r="M13" s="5" t="s">
        <v>77</v>
      </c>
      <c r="N13" s="5" t="s">
        <v>33</v>
      </c>
      <c r="O13" s="5">
        <v>18</v>
      </c>
      <c r="P13" s="7">
        <v>5712</v>
      </c>
      <c r="Q13" s="7">
        <v>0</v>
      </c>
      <c r="R13" s="17">
        <v>0.74</v>
      </c>
      <c r="S13">
        <f t="shared" si="0"/>
        <v>15</v>
      </c>
      <c r="T13">
        <f t="shared" si="1"/>
        <v>4226.88</v>
      </c>
      <c r="U13" t="str">
        <f t="shared" si="2"/>
        <v>No</v>
      </c>
      <c r="V13">
        <f t="shared" si="3"/>
        <v>0</v>
      </c>
      <c r="W13" t="str">
        <f t="shared" si="4"/>
        <v>No</v>
      </c>
    </row>
    <row r="14" spans="1:23" x14ac:dyDescent="0.3">
      <c r="A14" s="12" t="s">
        <v>133</v>
      </c>
      <c r="B14" s="12" t="s">
        <v>134</v>
      </c>
      <c r="C14" s="12" t="s">
        <v>54</v>
      </c>
      <c r="D14" s="12" t="s">
        <v>40</v>
      </c>
      <c r="E14" s="13">
        <v>45473</v>
      </c>
      <c r="F14" s="13">
        <v>45869</v>
      </c>
      <c r="G14" s="13">
        <v>45839</v>
      </c>
      <c r="H14" s="12" t="s">
        <v>96</v>
      </c>
      <c r="I14" s="12" t="s">
        <v>42</v>
      </c>
      <c r="J14" s="12" t="s">
        <v>90</v>
      </c>
      <c r="K14" s="12" t="s">
        <v>112</v>
      </c>
      <c r="L14" s="12" t="s">
        <v>135</v>
      </c>
      <c r="M14" s="12" t="s">
        <v>77</v>
      </c>
      <c r="N14" s="12" t="s">
        <v>33</v>
      </c>
      <c r="O14" s="12">
        <v>18</v>
      </c>
      <c r="P14" s="14">
        <v>3453</v>
      </c>
      <c r="Q14" s="14">
        <v>0</v>
      </c>
      <c r="R14" s="15">
        <v>0.78</v>
      </c>
      <c r="S14">
        <f t="shared" si="0"/>
        <v>396</v>
      </c>
      <c r="T14">
        <f t="shared" si="1"/>
        <v>2693.34</v>
      </c>
      <c r="U14" t="str">
        <f t="shared" si="2"/>
        <v>No</v>
      </c>
      <c r="V14">
        <f t="shared" si="3"/>
        <v>0</v>
      </c>
      <c r="W14" t="str">
        <f t="shared" si="4"/>
        <v>No</v>
      </c>
    </row>
    <row r="15" spans="1:23" x14ac:dyDescent="0.3">
      <c r="A15" s="5" t="s">
        <v>133</v>
      </c>
      <c r="B15" s="5" t="s">
        <v>134</v>
      </c>
      <c r="C15" s="5" t="s">
        <v>54</v>
      </c>
      <c r="D15" s="5" t="s">
        <v>79</v>
      </c>
      <c r="E15" s="16">
        <v>45473</v>
      </c>
      <c r="F15" s="16">
        <v>45506</v>
      </c>
      <c r="G15" s="16">
        <v>45505</v>
      </c>
      <c r="H15" s="5" t="s">
        <v>65</v>
      </c>
      <c r="I15" s="5" t="s">
        <v>42</v>
      </c>
      <c r="J15" s="5" t="s">
        <v>90</v>
      </c>
      <c r="K15" s="5" t="s">
        <v>114</v>
      </c>
      <c r="L15" s="5" t="s">
        <v>136</v>
      </c>
      <c r="M15" s="5" t="s">
        <v>30</v>
      </c>
      <c r="N15" s="5" t="s">
        <v>70</v>
      </c>
      <c r="O15" s="5">
        <v>7</v>
      </c>
      <c r="P15" s="7">
        <v>2896</v>
      </c>
      <c r="Q15" s="7">
        <v>2643</v>
      </c>
      <c r="R15" s="17">
        <v>1</v>
      </c>
      <c r="S15">
        <f t="shared" si="0"/>
        <v>33</v>
      </c>
      <c r="T15">
        <f t="shared" si="1"/>
        <v>2896</v>
      </c>
      <c r="U15" t="str">
        <f t="shared" si="2"/>
        <v>No</v>
      </c>
      <c r="V15">
        <f t="shared" si="3"/>
        <v>0</v>
      </c>
      <c r="W15" t="str">
        <f t="shared" si="4"/>
        <v>Yes</v>
      </c>
    </row>
    <row r="16" spans="1:23" x14ac:dyDescent="0.3">
      <c r="A16" s="12" t="s">
        <v>133</v>
      </c>
      <c r="B16" s="12" t="s">
        <v>134</v>
      </c>
      <c r="C16" s="12" t="s">
        <v>54</v>
      </c>
      <c r="D16" s="12" t="s">
        <v>34</v>
      </c>
      <c r="E16" s="13">
        <v>45473</v>
      </c>
      <c r="F16" s="13">
        <v>45838</v>
      </c>
      <c r="G16" s="13">
        <v>45809</v>
      </c>
      <c r="H16" s="12" t="s">
        <v>94</v>
      </c>
      <c r="I16" s="12" t="s">
        <v>42</v>
      </c>
      <c r="J16" s="12" t="s">
        <v>88</v>
      </c>
      <c r="K16" s="12" t="s">
        <v>116</v>
      </c>
      <c r="L16" s="12" t="s">
        <v>137</v>
      </c>
      <c r="M16" s="12" t="s">
        <v>77</v>
      </c>
      <c r="N16" s="12" t="s">
        <v>51</v>
      </c>
      <c r="O16" s="12">
        <v>0</v>
      </c>
      <c r="P16" s="14">
        <v>6463</v>
      </c>
      <c r="Q16" s="14">
        <v>0</v>
      </c>
      <c r="R16" s="15">
        <v>0.04</v>
      </c>
      <c r="S16">
        <f t="shared" si="0"/>
        <v>365</v>
      </c>
      <c r="T16">
        <f t="shared" si="1"/>
        <v>258.52</v>
      </c>
      <c r="U16" t="str">
        <f t="shared" si="2"/>
        <v>No</v>
      </c>
      <c r="V16">
        <f t="shared" si="3"/>
        <v>0</v>
      </c>
      <c r="W16" t="str">
        <f t="shared" si="4"/>
        <v>No</v>
      </c>
    </row>
    <row r="17" spans="1:23" x14ac:dyDescent="0.3">
      <c r="A17" s="5" t="s">
        <v>138</v>
      </c>
      <c r="B17" s="5" t="s">
        <v>139</v>
      </c>
      <c r="C17" s="5" t="s">
        <v>31</v>
      </c>
      <c r="D17" s="5" t="s">
        <v>40</v>
      </c>
      <c r="E17" s="16">
        <v>45543</v>
      </c>
      <c r="F17" s="16">
        <v>45546</v>
      </c>
      <c r="G17" s="16">
        <v>45536</v>
      </c>
      <c r="H17" s="5" t="s">
        <v>69</v>
      </c>
      <c r="I17" s="5" t="s">
        <v>42</v>
      </c>
      <c r="J17" s="5" t="s">
        <v>92</v>
      </c>
      <c r="K17" s="5" t="s">
        <v>112</v>
      </c>
      <c r="L17" s="5" t="s">
        <v>140</v>
      </c>
      <c r="M17" s="5" t="s">
        <v>30</v>
      </c>
      <c r="N17" s="5" t="s">
        <v>39</v>
      </c>
      <c r="O17" s="5">
        <v>9</v>
      </c>
      <c r="P17" s="7">
        <v>3206</v>
      </c>
      <c r="Q17" s="7">
        <v>2739</v>
      </c>
      <c r="R17" s="17">
        <v>1</v>
      </c>
      <c r="S17">
        <f t="shared" si="0"/>
        <v>3</v>
      </c>
      <c r="T17">
        <f t="shared" si="1"/>
        <v>3206</v>
      </c>
      <c r="U17" t="str">
        <f t="shared" si="2"/>
        <v>No</v>
      </c>
      <c r="V17">
        <f t="shared" si="3"/>
        <v>0</v>
      </c>
      <c r="W17" t="str">
        <f t="shared" si="4"/>
        <v>Yes</v>
      </c>
    </row>
    <row r="18" spans="1:23" x14ac:dyDescent="0.3">
      <c r="A18" s="12" t="s">
        <v>138</v>
      </c>
      <c r="B18" s="12" t="s">
        <v>139</v>
      </c>
      <c r="C18" s="12" t="s">
        <v>31</v>
      </c>
      <c r="D18" s="12" t="s">
        <v>82</v>
      </c>
      <c r="E18" s="13">
        <v>45543</v>
      </c>
      <c r="F18" s="13">
        <v>45546</v>
      </c>
      <c r="G18" s="13">
        <v>45536</v>
      </c>
      <c r="H18" s="12" t="s">
        <v>69</v>
      </c>
      <c r="I18" s="12" t="s">
        <v>42</v>
      </c>
      <c r="J18" s="12" t="s">
        <v>90</v>
      </c>
      <c r="K18" s="12" t="s">
        <v>114</v>
      </c>
      <c r="L18" s="12" t="s">
        <v>141</v>
      </c>
      <c r="M18" s="12" t="s">
        <v>30</v>
      </c>
      <c r="N18" s="12" t="s">
        <v>70</v>
      </c>
      <c r="O18" s="12">
        <v>40</v>
      </c>
      <c r="P18" s="14">
        <v>6477</v>
      </c>
      <c r="Q18" s="14">
        <v>6402</v>
      </c>
      <c r="R18" s="15">
        <v>1</v>
      </c>
      <c r="S18">
        <f t="shared" si="0"/>
        <v>3</v>
      </c>
      <c r="T18">
        <f t="shared" si="1"/>
        <v>6477</v>
      </c>
      <c r="U18" t="str">
        <f t="shared" si="2"/>
        <v>No</v>
      </c>
      <c r="V18">
        <f t="shared" si="3"/>
        <v>0</v>
      </c>
      <c r="W18" t="str">
        <f t="shared" si="4"/>
        <v>Yes</v>
      </c>
    </row>
    <row r="19" spans="1:23" x14ac:dyDescent="0.3">
      <c r="A19" s="5" t="s">
        <v>138</v>
      </c>
      <c r="B19" s="5" t="s">
        <v>139</v>
      </c>
      <c r="C19" s="5" t="s">
        <v>31</v>
      </c>
      <c r="D19" s="5" t="s">
        <v>46</v>
      </c>
      <c r="E19" s="16">
        <v>45543</v>
      </c>
      <c r="F19" s="16">
        <v>45708</v>
      </c>
      <c r="G19" s="16">
        <v>45689</v>
      </c>
      <c r="H19" s="5" t="s">
        <v>86</v>
      </c>
      <c r="I19" s="5" t="s">
        <v>42</v>
      </c>
      <c r="J19" s="5" t="s">
        <v>88</v>
      </c>
      <c r="K19" s="5" t="s">
        <v>116</v>
      </c>
      <c r="L19" s="5" t="s">
        <v>142</v>
      </c>
      <c r="M19" s="5" t="s">
        <v>73</v>
      </c>
      <c r="N19" s="5" t="s">
        <v>33</v>
      </c>
      <c r="O19" s="5">
        <v>40</v>
      </c>
      <c r="P19" s="7">
        <v>8634</v>
      </c>
      <c r="Q19" s="7">
        <v>0</v>
      </c>
      <c r="R19" s="17">
        <v>7.0000000000000007E-2</v>
      </c>
      <c r="S19">
        <f t="shared" si="0"/>
        <v>165</v>
      </c>
      <c r="T19">
        <f t="shared" si="1"/>
        <v>604.38000000000011</v>
      </c>
      <c r="U19" t="str">
        <f t="shared" si="2"/>
        <v>No</v>
      </c>
      <c r="V19">
        <f t="shared" si="3"/>
        <v>0</v>
      </c>
      <c r="W19" t="str">
        <f t="shared" si="4"/>
        <v>No</v>
      </c>
    </row>
    <row r="20" spans="1:23" x14ac:dyDescent="0.3">
      <c r="A20" s="12" t="s">
        <v>143</v>
      </c>
      <c r="B20" s="12" t="s">
        <v>144</v>
      </c>
      <c r="C20" s="12" t="s">
        <v>59</v>
      </c>
      <c r="D20" s="12" t="s">
        <v>79</v>
      </c>
      <c r="E20" s="13">
        <v>45451</v>
      </c>
      <c r="F20" s="13">
        <v>45613</v>
      </c>
      <c r="G20" s="13">
        <v>45597</v>
      </c>
      <c r="H20" s="12" t="s">
        <v>78</v>
      </c>
      <c r="I20" s="12" t="s">
        <v>36</v>
      </c>
      <c r="J20" s="12" t="s">
        <v>88</v>
      </c>
      <c r="K20" s="12" t="s">
        <v>112</v>
      </c>
      <c r="L20" s="12" t="s">
        <v>145</v>
      </c>
      <c r="M20" s="12" t="s">
        <v>77</v>
      </c>
      <c r="N20" s="12" t="s">
        <v>56</v>
      </c>
      <c r="O20" s="12">
        <v>32</v>
      </c>
      <c r="P20" s="14">
        <v>2552</v>
      </c>
      <c r="Q20" s="14">
        <v>0</v>
      </c>
      <c r="R20" s="15">
        <v>0.62</v>
      </c>
      <c r="S20">
        <f t="shared" si="0"/>
        <v>162</v>
      </c>
      <c r="T20">
        <f t="shared" si="1"/>
        <v>1582.24</v>
      </c>
      <c r="U20" t="str">
        <f t="shared" si="2"/>
        <v>No</v>
      </c>
      <c r="V20">
        <f t="shared" si="3"/>
        <v>0</v>
      </c>
      <c r="W20" t="str">
        <f t="shared" si="4"/>
        <v>No</v>
      </c>
    </row>
    <row r="21" spans="1:23" x14ac:dyDescent="0.3">
      <c r="A21" s="5" t="s">
        <v>143</v>
      </c>
      <c r="B21" s="5" t="s">
        <v>144</v>
      </c>
      <c r="C21" s="5" t="s">
        <v>59</v>
      </c>
      <c r="D21" s="5" t="s">
        <v>87</v>
      </c>
      <c r="E21" s="16">
        <v>45451</v>
      </c>
      <c r="F21" s="16">
        <v>45625</v>
      </c>
      <c r="G21" s="16">
        <v>45597</v>
      </c>
      <c r="H21" s="5" t="s">
        <v>78</v>
      </c>
      <c r="I21" s="5" t="s">
        <v>36</v>
      </c>
      <c r="J21" s="5" t="s">
        <v>90</v>
      </c>
      <c r="K21" s="5" t="s">
        <v>114</v>
      </c>
      <c r="L21" s="5" t="s">
        <v>146</v>
      </c>
      <c r="M21" s="5" t="s">
        <v>77</v>
      </c>
      <c r="N21" s="5" t="s">
        <v>51</v>
      </c>
      <c r="O21" s="5">
        <v>25</v>
      </c>
      <c r="P21" s="7">
        <v>4699</v>
      </c>
      <c r="Q21" s="7">
        <v>0</v>
      </c>
      <c r="R21" s="17">
        <v>0.85</v>
      </c>
      <c r="S21">
        <f t="shared" si="0"/>
        <v>174</v>
      </c>
      <c r="T21">
        <f t="shared" si="1"/>
        <v>3994.15</v>
      </c>
      <c r="U21" t="str">
        <f t="shared" si="2"/>
        <v>No</v>
      </c>
      <c r="V21">
        <f t="shared" si="3"/>
        <v>0</v>
      </c>
      <c r="W21" t="str">
        <f t="shared" si="4"/>
        <v>No</v>
      </c>
    </row>
    <row r="22" spans="1:23" x14ac:dyDescent="0.3">
      <c r="A22" s="12" t="s">
        <v>143</v>
      </c>
      <c r="B22" s="12" t="s">
        <v>144</v>
      </c>
      <c r="C22" s="12" t="s">
        <v>59</v>
      </c>
      <c r="D22" s="12" t="s">
        <v>46</v>
      </c>
      <c r="E22" s="13">
        <v>45451</v>
      </c>
      <c r="F22" s="13">
        <v>45613</v>
      </c>
      <c r="G22" s="13">
        <v>45597</v>
      </c>
      <c r="H22" s="12" t="s">
        <v>78</v>
      </c>
      <c r="I22" s="12" t="s">
        <v>36</v>
      </c>
      <c r="J22" s="12" t="s">
        <v>92</v>
      </c>
      <c r="K22" s="12" t="s">
        <v>116</v>
      </c>
      <c r="L22" s="12" t="s">
        <v>147</v>
      </c>
      <c r="M22" s="12" t="s">
        <v>77</v>
      </c>
      <c r="N22" s="12" t="s">
        <v>56</v>
      </c>
      <c r="O22" s="12">
        <v>10</v>
      </c>
      <c r="P22" s="14">
        <v>1720</v>
      </c>
      <c r="Q22" s="14">
        <v>0</v>
      </c>
      <c r="R22" s="15">
        <v>0.92</v>
      </c>
      <c r="S22">
        <f t="shared" si="0"/>
        <v>162</v>
      </c>
      <c r="T22">
        <f t="shared" si="1"/>
        <v>1582.4</v>
      </c>
      <c r="U22" t="str">
        <f t="shared" si="2"/>
        <v>No</v>
      </c>
      <c r="V22">
        <f t="shared" si="3"/>
        <v>0</v>
      </c>
      <c r="W22" t="str">
        <f t="shared" si="4"/>
        <v>No</v>
      </c>
    </row>
    <row r="23" spans="1:23" x14ac:dyDescent="0.3">
      <c r="A23" s="5" t="s">
        <v>148</v>
      </c>
      <c r="B23" s="5" t="s">
        <v>149</v>
      </c>
      <c r="C23" s="5" t="s">
        <v>43</v>
      </c>
      <c r="D23" s="5" t="s">
        <v>52</v>
      </c>
      <c r="E23" s="16">
        <v>45399</v>
      </c>
      <c r="F23" s="16">
        <v>45548</v>
      </c>
      <c r="G23" s="16">
        <v>45536</v>
      </c>
      <c r="H23" s="5" t="s">
        <v>69</v>
      </c>
      <c r="I23" s="5" t="s">
        <v>36</v>
      </c>
      <c r="J23" s="5" t="s">
        <v>90</v>
      </c>
      <c r="K23" s="5" t="s">
        <v>112</v>
      </c>
      <c r="L23" s="5" t="s">
        <v>150</v>
      </c>
      <c r="M23" s="5" t="s">
        <v>77</v>
      </c>
      <c r="N23" s="5" t="s">
        <v>39</v>
      </c>
      <c r="O23" s="5">
        <v>17</v>
      </c>
      <c r="P23" s="7">
        <v>9458</v>
      </c>
      <c r="Q23" s="7">
        <v>0</v>
      </c>
      <c r="R23" s="17">
        <v>0.59</v>
      </c>
      <c r="S23">
        <f t="shared" si="0"/>
        <v>149</v>
      </c>
      <c r="T23">
        <f t="shared" si="1"/>
        <v>5580.2199999999993</v>
      </c>
      <c r="U23" t="str">
        <f t="shared" si="2"/>
        <v>No</v>
      </c>
      <c r="V23">
        <f t="shared" si="3"/>
        <v>0</v>
      </c>
      <c r="W23" t="str">
        <f t="shared" si="4"/>
        <v>No</v>
      </c>
    </row>
    <row r="24" spans="1:23" x14ac:dyDescent="0.3">
      <c r="A24" s="12" t="s">
        <v>148</v>
      </c>
      <c r="B24" s="12" t="s">
        <v>149</v>
      </c>
      <c r="C24" s="12" t="s">
        <v>43</v>
      </c>
      <c r="D24" s="12" t="s">
        <v>84</v>
      </c>
      <c r="E24" s="13">
        <v>45399</v>
      </c>
      <c r="F24" s="13">
        <v>45601</v>
      </c>
      <c r="G24" s="13">
        <v>45597</v>
      </c>
      <c r="H24" s="12" t="s">
        <v>78</v>
      </c>
      <c r="I24" s="12" t="s">
        <v>36</v>
      </c>
      <c r="J24" s="12" t="s">
        <v>92</v>
      </c>
      <c r="K24" s="12" t="s">
        <v>114</v>
      </c>
      <c r="L24" s="12" t="s">
        <v>151</v>
      </c>
      <c r="M24" s="12" t="s">
        <v>77</v>
      </c>
      <c r="N24" s="12" t="s">
        <v>33</v>
      </c>
      <c r="O24" s="12">
        <v>21</v>
      </c>
      <c r="P24" s="14">
        <v>4735</v>
      </c>
      <c r="Q24" s="14">
        <v>0</v>
      </c>
      <c r="R24" s="15">
        <v>0.26</v>
      </c>
      <c r="S24">
        <f t="shared" si="0"/>
        <v>202</v>
      </c>
      <c r="T24">
        <f t="shared" si="1"/>
        <v>1231.1000000000001</v>
      </c>
      <c r="U24" t="str">
        <f t="shared" si="2"/>
        <v>No</v>
      </c>
      <c r="V24">
        <f t="shared" si="3"/>
        <v>0</v>
      </c>
      <c r="W24" t="str">
        <f t="shared" si="4"/>
        <v>No</v>
      </c>
    </row>
    <row r="25" spans="1:23" x14ac:dyDescent="0.3">
      <c r="A25" s="5" t="s">
        <v>148</v>
      </c>
      <c r="B25" s="5" t="s">
        <v>149</v>
      </c>
      <c r="C25" s="5" t="s">
        <v>43</v>
      </c>
      <c r="D25" s="5" t="s">
        <v>67</v>
      </c>
      <c r="E25" s="16">
        <v>45399</v>
      </c>
      <c r="F25" s="16">
        <v>45584</v>
      </c>
      <c r="G25" s="16">
        <v>45566</v>
      </c>
      <c r="H25" s="5" t="s">
        <v>74</v>
      </c>
      <c r="I25" s="5" t="s">
        <v>36</v>
      </c>
      <c r="J25" s="5" t="s">
        <v>88</v>
      </c>
      <c r="K25" s="5" t="s">
        <v>116</v>
      </c>
      <c r="L25" s="5" t="s">
        <v>152</v>
      </c>
      <c r="M25" s="5" t="s">
        <v>77</v>
      </c>
      <c r="N25" s="5" t="s">
        <v>33</v>
      </c>
      <c r="O25" s="5">
        <v>7</v>
      </c>
      <c r="P25" s="7">
        <v>9460</v>
      </c>
      <c r="Q25" s="7">
        <v>0</v>
      </c>
      <c r="R25" s="17">
        <v>0.45</v>
      </c>
      <c r="S25">
        <f t="shared" si="0"/>
        <v>185</v>
      </c>
      <c r="T25">
        <f t="shared" si="1"/>
        <v>4257</v>
      </c>
      <c r="U25" t="str">
        <f t="shared" si="2"/>
        <v>No</v>
      </c>
      <c r="V25">
        <f t="shared" si="3"/>
        <v>0</v>
      </c>
      <c r="W25" t="str">
        <f t="shared" si="4"/>
        <v>No</v>
      </c>
    </row>
    <row r="26" spans="1:23" x14ac:dyDescent="0.3">
      <c r="A26" s="12" t="s">
        <v>153</v>
      </c>
      <c r="B26" s="12" t="s">
        <v>154</v>
      </c>
      <c r="C26" s="12" t="s">
        <v>59</v>
      </c>
      <c r="D26" s="12" t="s">
        <v>57</v>
      </c>
      <c r="E26" s="13">
        <v>45409</v>
      </c>
      <c r="F26" s="13">
        <v>45775</v>
      </c>
      <c r="G26" s="13">
        <v>45748</v>
      </c>
      <c r="H26" s="12" t="s">
        <v>91</v>
      </c>
      <c r="I26" s="12" t="s">
        <v>48</v>
      </c>
      <c r="J26" s="12" t="s">
        <v>88</v>
      </c>
      <c r="K26" s="12" t="s">
        <v>112</v>
      </c>
      <c r="L26" s="12" t="s">
        <v>155</v>
      </c>
      <c r="M26" s="12" t="s">
        <v>77</v>
      </c>
      <c r="N26" s="12" t="s">
        <v>33</v>
      </c>
      <c r="O26" s="12">
        <v>35</v>
      </c>
      <c r="P26" s="14">
        <v>6385</v>
      </c>
      <c r="Q26" s="14">
        <v>0</v>
      </c>
      <c r="R26" s="15">
        <v>0.36</v>
      </c>
      <c r="S26">
        <f t="shared" si="0"/>
        <v>366</v>
      </c>
      <c r="T26">
        <f t="shared" si="1"/>
        <v>2298.6</v>
      </c>
      <c r="U26" t="str">
        <f t="shared" si="2"/>
        <v>No</v>
      </c>
      <c r="V26">
        <f t="shared" si="3"/>
        <v>0</v>
      </c>
      <c r="W26" t="str">
        <f t="shared" si="4"/>
        <v>No</v>
      </c>
    </row>
    <row r="27" spans="1:23" x14ac:dyDescent="0.3">
      <c r="A27" s="5" t="s">
        <v>153</v>
      </c>
      <c r="B27" s="5" t="s">
        <v>154</v>
      </c>
      <c r="C27" s="5" t="s">
        <v>59</v>
      </c>
      <c r="D27" s="5" t="s">
        <v>34</v>
      </c>
      <c r="E27" s="16">
        <v>45409</v>
      </c>
      <c r="F27" s="16">
        <v>45809</v>
      </c>
      <c r="G27" s="16">
        <v>45809</v>
      </c>
      <c r="H27" s="5" t="s">
        <v>94</v>
      </c>
      <c r="I27" s="5" t="s">
        <v>48</v>
      </c>
      <c r="J27" s="5" t="s">
        <v>90</v>
      </c>
      <c r="K27" s="5" t="s">
        <v>114</v>
      </c>
      <c r="L27" s="5" t="s">
        <v>156</v>
      </c>
      <c r="M27" s="5" t="s">
        <v>77</v>
      </c>
      <c r="N27" s="5" t="s">
        <v>56</v>
      </c>
      <c r="O27" s="5">
        <v>2</v>
      </c>
      <c r="P27" s="7">
        <v>7980</v>
      </c>
      <c r="Q27" s="7">
        <v>0</v>
      </c>
      <c r="R27" s="17">
        <v>0.88</v>
      </c>
      <c r="S27">
        <f t="shared" si="0"/>
        <v>400</v>
      </c>
      <c r="T27">
        <f t="shared" si="1"/>
        <v>7022.4</v>
      </c>
      <c r="U27" t="str">
        <f t="shared" si="2"/>
        <v>No</v>
      </c>
      <c r="V27">
        <f t="shared" si="3"/>
        <v>0</v>
      </c>
      <c r="W27" t="str">
        <f t="shared" si="4"/>
        <v>No</v>
      </c>
    </row>
    <row r="28" spans="1:23" x14ac:dyDescent="0.3">
      <c r="A28" s="12" t="s">
        <v>153</v>
      </c>
      <c r="B28" s="12" t="s">
        <v>154</v>
      </c>
      <c r="C28" s="12" t="s">
        <v>59</v>
      </c>
      <c r="D28" s="12" t="s">
        <v>62</v>
      </c>
      <c r="E28" s="13">
        <v>45409</v>
      </c>
      <c r="F28" s="13">
        <v>45803</v>
      </c>
      <c r="G28" s="13">
        <v>45778</v>
      </c>
      <c r="H28" s="12" t="s">
        <v>93</v>
      </c>
      <c r="I28" s="12" t="s">
        <v>48</v>
      </c>
      <c r="J28" s="12" t="s">
        <v>92</v>
      </c>
      <c r="K28" s="12" t="s">
        <v>116</v>
      </c>
      <c r="L28" s="12" t="s">
        <v>157</v>
      </c>
      <c r="M28" s="12" t="s">
        <v>77</v>
      </c>
      <c r="N28" s="12" t="s">
        <v>33</v>
      </c>
      <c r="O28" s="12">
        <v>26</v>
      </c>
      <c r="P28" s="14">
        <v>1106</v>
      </c>
      <c r="Q28" s="14">
        <v>0</v>
      </c>
      <c r="R28" s="15">
        <v>0.97</v>
      </c>
      <c r="S28">
        <f t="shared" si="0"/>
        <v>394</v>
      </c>
      <c r="T28">
        <f t="shared" si="1"/>
        <v>1072.82</v>
      </c>
      <c r="U28" t="str">
        <f t="shared" si="2"/>
        <v>No</v>
      </c>
      <c r="V28">
        <f t="shared" si="3"/>
        <v>0</v>
      </c>
      <c r="W28" t="str">
        <f t="shared" si="4"/>
        <v>No</v>
      </c>
    </row>
    <row r="29" spans="1:23" x14ac:dyDescent="0.3">
      <c r="A29" s="5" t="s">
        <v>158</v>
      </c>
      <c r="B29" s="5" t="s">
        <v>159</v>
      </c>
      <c r="C29" s="5" t="s">
        <v>59</v>
      </c>
      <c r="D29" s="5" t="s">
        <v>75</v>
      </c>
      <c r="E29" s="16">
        <v>45336</v>
      </c>
      <c r="F29" s="16">
        <v>45458</v>
      </c>
      <c r="G29" s="16">
        <v>45444</v>
      </c>
      <c r="H29" s="5" t="s">
        <v>55</v>
      </c>
      <c r="I29" s="5" t="s">
        <v>36</v>
      </c>
      <c r="J29" s="5" t="s">
        <v>88</v>
      </c>
      <c r="K29" s="5" t="s">
        <v>112</v>
      </c>
      <c r="L29" s="5" t="s">
        <v>160</v>
      </c>
      <c r="M29" s="5" t="s">
        <v>77</v>
      </c>
      <c r="N29" s="5" t="s">
        <v>51</v>
      </c>
      <c r="O29" s="5">
        <v>32</v>
      </c>
      <c r="P29" s="7">
        <v>1577</v>
      </c>
      <c r="Q29" s="7">
        <v>4850</v>
      </c>
      <c r="R29" s="17">
        <v>0.1</v>
      </c>
      <c r="S29">
        <f t="shared" si="0"/>
        <v>122</v>
      </c>
      <c r="T29">
        <f t="shared" si="1"/>
        <v>157.70000000000002</v>
      </c>
      <c r="U29" t="str">
        <f t="shared" si="2"/>
        <v>Yes</v>
      </c>
      <c r="V29">
        <f t="shared" si="3"/>
        <v>3273</v>
      </c>
      <c r="W29" t="str">
        <f t="shared" si="4"/>
        <v>Yes</v>
      </c>
    </row>
    <row r="30" spans="1:23" x14ac:dyDescent="0.3">
      <c r="A30" s="12" t="s">
        <v>158</v>
      </c>
      <c r="B30" s="12" t="s">
        <v>159</v>
      </c>
      <c r="C30" s="12" t="s">
        <v>59</v>
      </c>
      <c r="D30" s="12" t="s">
        <v>62</v>
      </c>
      <c r="E30" s="13">
        <v>45336</v>
      </c>
      <c r="F30" s="13">
        <v>45451</v>
      </c>
      <c r="G30" s="13">
        <v>45444</v>
      </c>
      <c r="H30" s="12" t="s">
        <v>55</v>
      </c>
      <c r="I30" s="12" t="s">
        <v>36</v>
      </c>
      <c r="J30" s="12" t="s">
        <v>88</v>
      </c>
      <c r="K30" s="12" t="s">
        <v>114</v>
      </c>
      <c r="L30" s="12" t="s">
        <v>161</v>
      </c>
      <c r="M30" s="12" t="s">
        <v>77</v>
      </c>
      <c r="N30" s="12" t="s">
        <v>39</v>
      </c>
      <c r="O30" s="12">
        <v>16</v>
      </c>
      <c r="P30" s="14">
        <v>3110</v>
      </c>
      <c r="Q30" s="14">
        <v>0</v>
      </c>
      <c r="R30" s="15">
        <v>0.7</v>
      </c>
      <c r="S30">
        <f t="shared" si="0"/>
        <v>115</v>
      </c>
      <c r="T30">
        <f t="shared" si="1"/>
        <v>2177</v>
      </c>
      <c r="U30" t="str">
        <f t="shared" si="2"/>
        <v>No</v>
      </c>
      <c r="V30">
        <f t="shared" si="3"/>
        <v>0</v>
      </c>
      <c r="W30" t="str">
        <f t="shared" si="4"/>
        <v>No</v>
      </c>
    </row>
    <row r="31" spans="1:23" x14ac:dyDescent="0.3">
      <c r="A31" s="5" t="s">
        <v>158</v>
      </c>
      <c r="B31" s="5" t="s">
        <v>159</v>
      </c>
      <c r="C31" s="5" t="s">
        <v>59</v>
      </c>
      <c r="D31" s="5" t="s">
        <v>62</v>
      </c>
      <c r="E31" s="16">
        <v>45336</v>
      </c>
      <c r="F31" s="16">
        <v>45438</v>
      </c>
      <c r="G31" s="16">
        <v>45413</v>
      </c>
      <c r="H31" s="5" t="s">
        <v>50</v>
      </c>
      <c r="I31" s="5" t="s">
        <v>36</v>
      </c>
      <c r="J31" s="5" t="s">
        <v>92</v>
      </c>
      <c r="K31" s="5" t="s">
        <v>116</v>
      </c>
      <c r="L31" s="5" t="s">
        <v>162</v>
      </c>
      <c r="M31" s="5" t="s">
        <v>77</v>
      </c>
      <c r="N31" s="5" t="s">
        <v>33</v>
      </c>
      <c r="O31" s="5">
        <v>11</v>
      </c>
      <c r="P31" s="7">
        <v>3432</v>
      </c>
      <c r="Q31" s="7">
        <v>0</v>
      </c>
      <c r="R31" s="17">
        <v>0.6</v>
      </c>
      <c r="S31">
        <f t="shared" si="0"/>
        <v>102</v>
      </c>
      <c r="T31">
        <f t="shared" si="1"/>
        <v>2059.1999999999998</v>
      </c>
      <c r="U31" t="str">
        <f t="shared" si="2"/>
        <v>No</v>
      </c>
      <c r="V31">
        <f t="shared" si="3"/>
        <v>0</v>
      </c>
      <c r="W31" t="str">
        <f t="shared" si="4"/>
        <v>No</v>
      </c>
    </row>
    <row r="32" spans="1:23" x14ac:dyDescent="0.3">
      <c r="A32" s="12" t="s">
        <v>163</v>
      </c>
      <c r="B32" s="12" t="s">
        <v>164</v>
      </c>
      <c r="C32" s="12" t="s">
        <v>31</v>
      </c>
      <c r="D32" s="12" t="s">
        <v>57</v>
      </c>
      <c r="E32" s="13">
        <v>45509</v>
      </c>
      <c r="F32" s="13">
        <v>45501</v>
      </c>
      <c r="G32" s="13">
        <v>45474</v>
      </c>
      <c r="H32" s="12" t="s">
        <v>60</v>
      </c>
      <c r="I32" s="12" t="s">
        <v>30</v>
      </c>
      <c r="J32" s="12" t="s">
        <v>88</v>
      </c>
      <c r="K32" s="12" t="s">
        <v>112</v>
      </c>
      <c r="L32" s="12" t="s">
        <v>165</v>
      </c>
      <c r="M32" s="12" t="s">
        <v>73</v>
      </c>
      <c r="N32" s="12" t="s">
        <v>45</v>
      </c>
      <c r="O32" s="12">
        <v>15</v>
      </c>
      <c r="P32" s="14">
        <v>3544</v>
      </c>
      <c r="Q32" s="14">
        <v>0</v>
      </c>
      <c r="R32" s="15">
        <v>0.64</v>
      </c>
      <c r="S32">
        <f t="shared" si="0"/>
        <v>-8</v>
      </c>
      <c r="T32">
        <f t="shared" si="1"/>
        <v>2268.16</v>
      </c>
      <c r="U32" t="str">
        <f t="shared" si="2"/>
        <v>No</v>
      </c>
      <c r="V32">
        <f t="shared" si="3"/>
        <v>0</v>
      </c>
      <c r="W32" t="str">
        <f t="shared" si="4"/>
        <v>No</v>
      </c>
    </row>
    <row r="33" spans="1:23" x14ac:dyDescent="0.3">
      <c r="A33" s="5" t="s">
        <v>163</v>
      </c>
      <c r="B33" s="5" t="s">
        <v>164</v>
      </c>
      <c r="C33" s="5" t="s">
        <v>31</v>
      </c>
      <c r="D33" s="5" t="s">
        <v>67</v>
      </c>
      <c r="E33" s="16">
        <v>45509</v>
      </c>
      <c r="F33" s="16">
        <v>45523</v>
      </c>
      <c r="G33" s="16">
        <v>45505</v>
      </c>
      <c r="H33" s="5" t="s">
        <v>65</v>
      </c>
      <c r="I33" s="5" t="s">
        <v>30</v>
      </c>
      <c r="J33" s="5" t="s">
        <v>88</v>
      </c>
      <c r="K33" s="5" t="s">
        <v>114</v>
      </c>
      <c r="L33" s="5" t="s">
        <v>166</v>
      </c>
      <c r="M33" s="5" t="s">
        <v>73</v>
      </c>
      <c r="N33" s="5" t="s">
        <v>45</v>
      </c>
      <c r="O33" s="5">
        <v>40</v>
      </c>
      <c r="P33" s="7">
        <v>7808</v>
      </c>
      <c r="Q33" s="7">
        <v>0</v>
      </c>
      <c r="R33" s="17">
        <v>0.44</v>
      </c>
      <c r="S33">
        <f t="shared" si="0"/>
        <v>14</v>
      </c>
      <c r="T33">
        <f t="shared" si="1"/>
        <v>3435.52</v>
      </c>
      <c r="U33" t="str">
        <f t="shared" si="2"/>
        <v>No</v>
      </c>
      <c r="V33">
        <f t="shared" si="3"/>
        <v>0</v>
      </c>
      <c r="W33" t="str">
        <f t="shared" si="4"/>
        <v>No</v>
      </c>
    </row>
    <row r="34" spans="1:23" x14ac:dyDescent="0.3">
      <c r="A34" s="12" t="s">
        <v>163</v>
      </c>
      <c r="B34" s="12" t="s">
        <v>164</v>
      </c>
      <c r="C34" s="12" t="s">
        <v>31</v>
      </c>
      <c r="D34" s="12" t="s">
        <v>87</v>
      </c>
      <c r="E34" s="13">
        <v>45509</v>
      </c>
      <c r="F34" s="13">
        <v>45505</v>
      </c>
      <c r="G34" s="13">
        <v>45505</v>
      </c>
      <c r="H34" s="12" t="s">
        <v>65</v>
      </c>
      <c r="I34" s="12" t="s">
        <v>30</v>
      </c>
      <c r="J34" s="12" t="s">
        <v>88</v>
      </c>
      <c r="K34" s="12" t="s">
        <v>116</v>
      </c>
      <c r="L34" s="12" t="s">
        <v>167</v>
      </c>
      <c r="M34" s="12" t="s">
        <v>77</v>
      </c>
      <c r="N34" s="12" t="s">
        <v>39</v>
      </c>
      <c r="O34" s="12">
        <v>1</v>
      </c>
      <c r="P34" s="14">
        <v>1776</v>
      </c>
      <c r="Q34" s="14">
        <v>0</v>
      </c>
      <c r="R34" s="15">
        <v>0.02</v>
      </c>
      <c r="S34">
        <f t="shared" si="0"/>
        <v>-4</v>
      </c>
      <c r="T34">
        <f t="shared" si="1"/>
        <v>35.520000000000003</v>
      </c>
      <c r="U34" t="str">
        <f t="shared" si="2"/>
        <v>No</v>
      </c>
      <c r="V34">
        <f t="shared" si="3"/>
        <v>0</v>
      </c>
      <c r="W34" t="str">
        <f t="shared" si="4"/>
        <v>No</v>
      </c>
    </row>
    <row r="35" spans="1:23" x14ac:dyDescent="0.3">
      <c r="A35" s="5" t="s">
        <v>168</v>
      </c>
      <c r="B35" s="5" t="s">
        <v>169</v>
      </c>
      <c r="C35" s="5" t="s">
        <v>43</v>
      </c>
      <c r="D35" s="5" t="s">
        <v>67</v>
      </c>
      <c r="E35" s="16">
        <v>45318</v>
      </c>
      <c r="F35" s="16">
        <v>45351</v>
      </c>
      <c r="G35" s="16">
        <v>45323</v>
      </c>
      <c r="H35" s="5" t="s">
        <v>32</v>
      </c>
      <c r="I35" s="5" t="s">
        <v>30</v>
      </c>
      <c r="J35" s="5" t="s">
        <v>88</v>
      </c>
      <c r="K35" s="5" t="s">
        <v>112</v>
      </c>
      <c r="L35" s="5" t="s">
        <v>170</v>
      </c>
      <c r="M35" s="5" t="s">
        <v>30</v>
      </c>
      <c r="N35" s="5" t="s">
        <v>70</v>
      </c>
      <c r="O35" s="5">
        <v>15</v>
      </c>
      <c r="P35" s="7">
        <v>1815</v>
      </c>
      <c r="Q35" s="7">
        <v>1679</v>
      </c>
      <c r="R35" s="17">
        <v>1</v>
      </c>
      <c r="S35">
        <f t="shared" si="0"/>
        <v>33</v>
      </c>
      <c r="T35">
        <f t="shared" si="1"/>
        <v>1815</v>
      </c>
      <c r="U35" t="str">
        <f t="shared" si="2"/>
        <v>No</v>
      </c>
      <c r="V35">
        <f t="shared" si="3"/>
        <v>0</v>
      </c>
      <c r="W35" t="str">
        <f t="shared" si="4"/>
        <v>Yes</v>
      </c>
    </row>
    <row r="36" spans="1:23" x14ac:dyDescent="0.3">
      <c r="A36" s="12" t="s">
        <v>168</v>
      </c>
      <c r="B36" s="12" t="s">
        <v>169</v>
      </c>
      <c r="C36" s="12" t="s">
        <v>43</v>
      </c>
      <c r="D36" s="12" t="s">
        <v>62</v>
      </c>
      <c r="E36" s="13">
        <v>45318</v>
      </c>
      <c r="F36" s="13">
        <v>45351</v>
      </c>
      <c r="G36" s="13">
        <v>45323</v>
      </c>
      <c r="H36" s="12" t="s">
        <v>32</v>
      </c>
      <c r="I36" s="12" t="s">
        <v>30</v>
      </c>
      <c r="J36" s="12" t="s">
        <v>88</v>
      </c>
      <c r="K36" s="12" t="s">
        <v>114</v>
      </c>
      <c r="L36" s="12" t="s">
        <v>171</v>
      </c>
      <c r="M36" s="12" t="s">
        <v>30</v>
      </c>
      <c r="N36" s="12" t="s">
        <v>61</v>
      </c>
      <c r="O36" s="12">
        <v>40</v>
      </c>
      <c r="P36" s="14">
        <v>8915</v>
      </c>
      <c r="Q36" s="14">
        <v>8464</v>
      </c>
      <c r="R36" s="15">
        <v>1</v>
      </c>
      <c r="S36">
        <f t="shared" si="0"/>
        <v>33</v>
      </c>
      <c r="T36">
        <f t="shared" si="1"/>
        <v>8915</v>
      </c>
      <c r="U36" t="str">
        <f t="shared" si="2"/>
        <v>No</v>
      </c>
      <c r="V36">
        <f t="shared" si="3"/>
        <v>0</v>
      </c>
      <c r="W36" t="str">
        <f t="shared" si="4"/>
        <v>Yes</v>
      </c>
    </row>
    <row r="37" spans="1:23" x14ac:dyDescent="0.3">
      <c r="A37" s="5" t="s">
        <v>168</v>
      </c>
      <c r="B37" s="5" t="s">
        <v>169</v>
      </c>
      <c r="C37" s="5" t="s">
        <v>43</v>
      </c>
      <c r="D37" s="5" t="s">
        <v>71</v>
      </c>
      <c r="E37" s="16">
        <v>45318</v>
      </c>
      <c r="F37" s="16">
        <v>45835</v>
      </c>
      <c r="G37" s="16">
        <v>45809</v>
      </c>
      <c r="H37" s="5" t="s">
        <v>94</v>
      </c>
      <c r="I37" s="5" t="s">
        <v>30</v>
      </c>
      <c r="J37" s="5" t="s">
        <v>90</v>
      </c>
      <c r="K37" s="5" t="s">
        <v>116</v>
      </c>
      <c r="L37" s="5" t="s">
        <v>172</v>
      </c>
      <c r="M37" s="5" t="s">
        <v>77</v>
      </c>
      <c r="N37" s="5" t="s">
        <v>39</v>
      </c>
      <c r="O37" s="5">
        <v>18</v>
      </c>
      <c r="P37" s="7">
        <v>9242</v>
      </c>
      <c r="Q37" s="7">
        <v>0</v>
      </c>
      <c r="R37" s="17">
        <v>0.98</v>
      </c>
      <c r="S37">
        <f t="shared" si="0"/>
        <v>517</v>
      </c>
      <c r="T37">
        <f t="shared" si="1"/>
        <v>9057.16</v>
      </c>
      <c r="U37" t="str">
        <f t="shared" si="2"/>
        <v>No</v>
      </c>
      <c r="V37">
        <f t="shared" si="3"/>
        <v>0</v>
      </c>
      <c r="W37" t="str">
        <f t="shared" si="4"/>
        <v>No</v>
      </c>
    </row>
    <row r="38" spans="1:23" x14ac:dyDescent="0.3">
      <c r="A38" s="12" t="s">
        <v>173</v>
      </c>
      <c r="B38" s="12" t="s">
        <v>174</v>
      </c>
      <c r="C38" s="12" t="s">
        <v>59</v>
      </c>
      <c r="D38" s="12" t="s">
        <v>87</v>
      </c>
      <c r="E38" s="13">
        <v>45537</v>
      </c>
      <c r="F38" s="13">
        <v>45528</v>
      </c>
      <c r="G38" s="13">
        <v>45505</v>
      </c>
      <c r="H38" s="12" t="s">
        <v>65</v>
      </c>
      <c r="I38" s="12" t="s">
        <v>48</v>
      </c>
      <c r="J38" s="12" t="s">
        <v>90</v>
      </c>
      <c r="K38" s="12" t="s">
        <v>112</v>
      </c>
      <c r="L38" s="12" t="s">
        <v>175</v>
      </c>
      <c r="M38" s="12" t="s">
        <v>30</v>
      </c>
      <c r="N38" s="12" t="s">
        <v>39</v>
      </c>
      <c r="O38" s="12">
        <v>12</v>
      </c>
      <c r="P38" s="14">
        <v>9559</v>
      </c>
      <c r="Q38" s="14">
        <v>9379</v>
      </c>
      <c r="R38" s="15">
        <v>1</v>
      </c>
      <c r="S38">
        <f t="shared" si="0"/>
        <v>-9</v>
      </c>
      <c r="T38">
        <f t="shared" si="1"/>
        <v>9559</v>
      </c>
      <c r="U38" t="str">
        <f t="shared" si="2"/>
        <v>No</v>
      </c>
      <c r="V38">
        <f t="shared" si="3"/>
        <v>0</v>
      </c>
      <c r="W38" t="str">
        <f t="shared" si="4"/>
        <v>Yes</v>
      </c>
    </row>
    <row r="39" spans="1:23" x14ac:dyDescent="0.3">
      <c r="A39" s="5" t="s">
        <v>173</v>
      </c>
      <c r="B39" s="5" t="s">
        <v>174</v>
      </c>
      <c r="C39" s="5" t="s">
        <v>59</v>
      </c>
      <c r="D39" s="5" t="s">
        <v>40</v>
      </c>
      <c r="E39" s="16">
        <v>45537</v>
      </c>
      <c r="F39" s="16">
        <v>45479</v>
      </c>
      <c r="G39" s="16">
        <v>45474</v>
      </c>
      <c r="H39" s="5" t="s">
        <v>60</v>
      </c>
      <c r="I39" s="5" t="s">
        <v>48</v>
      </c>
      <c r="J39" s="5" t="s">
        <v>90</v>
      </c>
      <c r="K39" s="5" t="s">
        <v>114</v>
      </c>
      <c r="L39" s="5" t="s">
        <v>176</v>
      </c>
      <c r="M39" s="5" t="s">
        <v>73</v>
      </c>
      <c r="N39" s="5" t="s">
        <v>61</v>
      </c>
      <c r="O39" s="5">
        <v>38</v>
      </c>
      <c r="P39" s="7">
        <v>4795</v>
      </c>
      <c r="Q39" s="7">
        <v>0</v>
      </c>
      <c r="R39" s="17">
        <v>0.28000000000000003</v>
      </c>
      <c r="S39">
        <f t="shared" si="0"/>
        <v>-58</v>
      </c>
      <c r="T39">
        <f t="shared" si="1"/>
        <v>1342.6000000000001</v>
      </c>
      <c r="U39" t="str">
        <f t="shared" si="2"/>
        <v>No</v>
      </c>
      <c r="V39">
        <f t="shared" si="3"/>
        <v>0</v>
      </c>
      <c r="W39" t="str">
        <f t="shared" si="4"/>
        <v>No</v>
      </c>
    </row>
    <row r="40" spans="1:23" x14ac:dyDescent="0.3">
      <c r="A40" s="12" t="s">
        <v>173</v>
      </c>
      <c r="B40" s="12" t="s">
        <v>174</v>
      </c>
      <c r="C40" s="12" t="s">
        <v>59</v>
      </c>
      <c r="D40" s="12" t="s">
        <v>79</v>
      </c>
      <c r="E40" s="13">
        <v>45537</v>
      </c>
      <c r="F40" s="13">
        <v>45501</v>
      </c>
      <c r="G40" s="13">
        <v>45474</v>
      </c>
      <c r="H40" s="12" t="s">
        <v>60</v>
      </c>
      <c r="I40" s="12" t="s">
        <v>48</v>
      </c>
      <c r="J40" s="12" t="s">
        <v>90</v>
      </c>
      <c r="K40" s="12" t="s">
        <v>116</v>
      </c>
      <c r="L40" s="12" t="s">
        <v>177</v>
      </c>
      <c r="M40" s="12" t="s">
        <v>73</v>
      </c>
      <c r="N40" s="12" t="s">
        <v>39</v>
      </c>
      <c r="O40" s="12">
        <v>6</v>
      </c>
      <c r="P40" s="14">
        <v>5258</v>
      </c>
      <c r="Q40" s="14">
        <v>0</v>
      </c>
      <c r="R40" s="15">
        <v>0.55000000000000004</v>
      </c>
      <c r="S40">
        <f t="shared" si="0"/>
        <v>-36</v>
      </c>
      <c r="T40">
        <f t="shared" si="1"/>
        <v>2891.9</v>
      </c>
      <c r="U40" t="str">
        <f t="shared" si="2"/>
        <v>No</v>
      </c>
      <c r="V40">
        <f t="shared" si="3"/>
        <v>0</v>
      </c>
      <c r="W40" t="str">
        <f t="shared" si="4"/>
        <v>No</v>
      </c>
    </row>
    <row r="41" spans="1:23" x14ac:dyDescent="0.3">
      <c r="A41" s="5" t="s">
        <v>178</v>
      </c>
      <c r="B41" s="5" t="s">
        <v>179</v>
      </c>
      <c r="C41" s="5" t="s">
        <v>31</v>
      </c>
      <c r="D41" s="5" t="s">
        <v>62</v>
      </c>
      <c r="E41" s="16">
        <v>45503</v>
      </c>
      <c r="F41" s="16">
        <v>45646</v>
      </c>
      <c r="G41" s="16">
        <v>45627</v>
      </c>
      <c r="H41" s="5" t="s">
        <v>81</v>
      </c>
      <c r="I41" s="5" t="s">
        <v>42</v>
      </c>
      <c r="J41" s="5" t="s">
        <v>92</v>
      </c>
      <c r="K41" s="5" t="s">
        <v>112</v>
      </c>
      <c r="L41" s="5" t="s">
        <v>180</v>
      </c>
      <c r="M41" s="5" t="s">
        <v>73</v>
      </c>
      <c r="N41" s="5" t="s">
        <v>51</v>
      </c>
      <c r="O41" s="5">
        <v>31</v>
      </c>
      <c r="P41" s="7">
        <v>8531</v>
      </c>
      <c r="Q41" s="7">
        <v>0</v>
      </c>
      <c r="R41" s="17">
        <v>0.1</v>
      </c>
      <c r="S41">
        <f t="shared" si="0"/>
        <v>143</v>
      </c>
      <c r="T41">
        <f t="shared" si="1"/>
        <v>853.1</v>
      </c>
      <c r="U41" t="str">
        <f t="shared" si="2"/>
        <v>No</v>
      </c>
      <c r="V41">
        <f t="shared" si="3"/>
        <v>0</v>
      </c>
      <c r="W41" t="str">
        <f t="shared" si="4"/>
        <v>No</v>
      </c>
    </row>
    <row r="42" spans="1:23" x14ac:dyDescent="0.3">
      <c r="A42" s="12" t="s">
        <v>178</v>
      </c>
      <c r="B42" s="12" t="s">
        <v>179</v>
      </c>
      <c r="C42" s="12" t="s">
        <v>31</v>
      </c>
      <c r="D42" s="12" t="s">
        <v>62</v>
      </c>
      <c r="E42" s="13">
        <v>45503</v>
      </c>
      <c r="F42" s="13">
        <v>45687</v>
      </c>
      <c r="G42" s="13">
        <v>45658</v>
      </c>
      <c r="H42" s="12" t="s">
        <v>83</v>
      </c>
      <c r="I42" s="12" t="s">
        <v>42</v>
      </c>
      <c r="J42" s="12" t="s">
        <v>92</v>
      </c>
      <c r="K42" s="12" t="s">
        <v>114</v>
      </c>
      <c r="L42" s="12" t="s">
        <v>181</v>
      </c>
      <c r="M42" s="12" t="s">
        <v>77</v>
      </c>
      <c r="N42" s="12" t="s">
        <v>33</v>
      </c>
      <c r="O42" s="12">
        <v>8</v>
      </c>
      <c r="P42" s="14">
        <v>3564</v>
      </c>
      <c r="Q42" s="14">
        <v>0</v>
      </c>
      <c r="R42" s="15">
        <v>0.82</v>
      </c>
      <c r="S42">
        <f t="shared" si="0"/>
        <v>184</v>
      </c>
      <c r="T42">
        <f t="shared" si="1"/>
        <v>2922.48</v>
      </c>
      <c r="U42" t="str">
        <f t="shared" si="2"/>
        <v>No</v>
      </c>
      <c r="V42">
        <f t="shared" si="3"/>
        <v>0</v>
      </c>
      <c r="W42" t="str">
        <f t="shared" si="4"/>
        <v>No</v>
      </c>
    </row>
    <row r="43" spans="1:23" x14ac:dyDescent="0.3">
      <c r="A43" s="5" t="s">
        <v>178</v>
      </c>
      <c r="B43" s="5" t="s">
        <v>179</v>
      </c>
      <c r="C43" s="5" t="s">
        <v>31</v>
      </c>
      <c r="D43" s="5" t="s">
        <v>75</v>
      </c>
      <c r="E43" s="16">
        <v>45503</v>
      </c>
      <c r="F43" s="16">
        <v>45655</v>
      </c>
      <c r="G43" s="16">
        <v>45627</v>
      </c>
      <c r="H43" s="5" t="s">
        <v>81</v>
      </c>
      <c r="I43" s="5" t="s">
        <v>42</v>
      </c>
      <c r="J43" s="5" t="s">
        <v>90</v>
      </c>
      <c r="K43" s="5" t="s">
        <v>116</v>
      </c>
      <c r="L43" s="5" t="s">
        <v>182</v>
      </c>
      <c r="M43" s="5" t="s">
        <v>77</v>
      </c>
      <c r="N43" s="5" t="s">
        <v>33</v>
      </c>
      <c r="O43" s="5">
        <v>6</v>
      </c>
      <c r="P43" s="7">
        <v>6213</v>
      </c>
      <c r="Q43" s="7">
        <v>0</v>
      </c>
      <c r="R43" s="17">
        <v>0.22</v>
      </c>
      <c r="S43">
        <f t="shared" si="0"/>
        <v>152</v>
      </c>
      <c r="T43">
        <f t="shared" si="1"/>
        <v>1366.86</v>
      </c>
      <c r="U43" t="str">
        <f t="shared" si="2"/>
        <v>No</v>
      </c>
      <c r="V43">
        <f t="shared" si="3"/>
        <v>0</v>
      </c>
      <c r="W43" t="str">
        <f t="shared" si="4"/>
        <v>No</v>
      </c>
    </row>
    <row r="44" spans="1:23" x14ac:dyDescent="0.3">
      <c r="A44" s="12" t="s">
        <v>183</v>
      </c>
      <c r="B44" s="12" t="s">
        <v>184</v>
      </c>
      <c r="C44" s="12" t="s">
        <v>59</v>
      </c>
      <c r="D44" s="12" t="s">
        <v>67</v>
      </c>
      <c r="E44" s="13">
        <v>45368</v>
      </c>
      <c r="F44" s="13">
        <v>45401</v>
      </c>
      <c r="G44" s="13">
        <v>45383</v>
      </c>
      <c r="H44" s="12" t="s">
        <v>44</v>
      </c>
      <c r="I44" s="12" t="s">
        <v>48</v>
      </c>
      <c r="J44" s="12" t="s">
        <v>88</v>
      </c>
      <c r="K44" s="12" t="s">
        <v>112</v>
      </c>
      <c r="L44" s="12" t="s">
        <v>185</v>
      </c>
      <c r="M44" s="12" t="s">
        <v>30</v>
      </c>
      <c r="N44" s="12" t="s">
        <v>56</v>
      </c>
      <c r="O44" s="12">
        <v>8</v>
      </c>
      <c r="P44" s="14">
        <v>4714</v>
      </c>
      <c r="Q44" s="14">
        <v>4608</v>
      </c>
      <c r="R44" s="15">
        <v>1</v>
      </c>
      <c r="S44">
        <f t="shared" si="0"/>
        <v>33</v>
      </c>
      <c r="T44">
        <f t="shared" si="1"/>
        <v>4714</v>
      </c>
      <c r="U44" t="str">
        <f t="shared" si="2"/>
        <v>No</v>
      </c>
      <c r="V44">
        <f t="shared" si="3"/>
        <v>0</v>
      </c>
      <c r="W44" t="str">
        <f t="shared" si="4"/>
        <v>Yes</v>
      </c>
    </row>
    <row r="45" spans="1:23" x14ac:dyDescent="0.3">
      <c r="A45" s="5" t="s">
        <v>183</v>
      </c>
      <c r="B45" s="5" t="s">
        <v>184</v>
      </c>
      <c r="C45" s="5" t="s">
        <v>59</v>
      </c>
      <c r="D45" s="5" t="s">
        <v>75</v>
      </c>
      <c r="E45" s="16">
        <v>45368</v>
      </c>
      <c r="F45" s="16">
        <v>45401</v>
      </c>
      <c r="G45" s="16">
        <v>45383</v>
      </c>
      <c r="H45" s="5" t="s">
        <v>44</v>
      </c>
      <c r="I45" s="5" t="s">
        <v>48</v>
      </c>
      <c r="J45" s="5" t="s">
        <v>90</v>
      </c>
      <c r="K45" s="5" t="s">
        <v>114</v>
      </c>
      <c r="L45" s="5" t="s">
        <v>186</v>
      </c>
      <c r="M45" s="5" t="s">
        <v>30</v>
      </c>
      <c r="N45" s="5" t="s">
        <v>33</v>
      </c>
      <c r="O45" s="5">
        <v>4</v>
      </c>
      <c r="P45" s="7">
        <v>1026</v>
      </c>
      <c r="Q45" s="7">
        <v>528</v>
      </c>
      <c r="R45" s="17">
        <v>1</v>
      </c>
      <c r="S45">
        <f t="shared" si="0"/>
        <v>33</v>
      </c>
      <c r="T45">
        <f t="shared" si="1"/>
        <v>1026</v>
      </c>
      <c r="U45" t="str">
        <f t="shared" si="2"/>
        <v>No</v>
      </c>
      <c r="V45">
        <f t="shared" si="3"/>
        <v>0</v>
      </c>
      <c r="W45" t="str">
        <f t="shared" si="4"/>
        <v>Yes</v>
      </c>
    </row>
    <row r="46" spans="1:23" x14ac:dyDescent="0.3">
      <c r="A46" s="12" t="s">
        <v>183</v>
      </c>
      <c r="B46" s="12" t="s">
        <v>184</v>
      </c>
      <c r="C46" s="12" t="s">
        <v>59</v>
      </c>
      <c r="D46" s="12" t="s">
        <v>82</v>
      </c>
      <c r="E46" s="13">
        <v>45368</v>
      </c>
      <c r="F46" s="13">
        <v>45401</v>
      </c>
      <c r="G46" s="13">
        <v>45383</v>
      </c>
      <c r="H46" s="12" t="s">
        <v>44</v>
      </c>
      <c r="I46" s="12" t="s">
        <v>48</v>
      </c>
      <c r="J46" s="12" t="s">
        <v>88</v>
      </c>
      <c r="K46" s="12" t="s">
        <v>116</v>
      </c>
      <c r="L46" s="12" t="s">
        <v>187</v>
      </c>
      <c r="M46" s="12" t="s">
        <v>30</v>
      </c>
      <c r="N46" s="12" t="s">
        <v>61</v>
      </c>
      <c r="O46" s="12">
        <v>22</v>
      </c>
      <c r="P46" s="14">
        <v>5365</v>
      </c>
      <c r="Q46" s="14">
        <v>5232</v>
      </c>
      <c r="R46" s="15">
        <v>1</v>
      </c>
      <c r="S46">
        <f t="shared" si="0"/>
        <v>33</v>
      </c>
      <c r="T46">
        <f t="shared" si="1"/>
        <v>5365</v>
      </c>
      <c r="U46" t="str">
        <f t="shared" si="2"/>
        <v>No</v>
      </c>
      <c r="V46">
        <f t="shared" si="3"/>
        <v>0</v>
      </c>
      <c r="W46" t="str">
        <f t="shared" si="4"/>
        <v>Yes</v>
      </c>
    </row>
    <row r="47" spans="1:23" x14ac:dyDescent="0.3">
      <c r="A47" s="5" t="s">
        <v>188</v>
      </c>
      <c r="B47" s="5" t="s">
        <v>189</v>
      </c>
      <c r="C47" s="5" t="s">
        <v>31</v>
      </c>
      <c r="D47" s="5" t="s">
        <v>67</v>
      </c>
      <c r="E47" s="16">
        <v>45340</v>
      </c>
      <c r="F47" s="16">
        <v>45560</v>
      </c>
      <c r="G47" s="16">
        <v>45536</v>
      </c>
      <c r="H47" s="5" t="s">
        <v>69</v>
      </c>
      <c r="I47" s="5" t="s">
        <v>30</v>
      </c>
      <c r="J47" s="5" t="s">
        <v>90</v>
      </c>
      <c r="K47" s="5" t="s">
        <v>112</v>
      </c>
      <c r="L47" s="5" t="s">
        <v>190</v>
      </c>
      <c r="M47" s="5" t="s">
        <v>30</v>
      </c>
      <c r="N47" s="5" t="s">
        <v>61</v>
      </c>
      <c r="O47" s="5">
        <v>5</v>
      </c>
      <c r="P47" s="7">
        <v>3688</v>
      </c>
      <c r="Q47" s="7">
        <v>3610</v>
      </c>
      <c r="R47" s="17">
        <v>1</v>
      </c>
      <c r="S47">
        <f t="shared" si="0"/>
        <v>220</v>
      </c>
      <c r="T47">
        <f t="shared" si="1"/>
        <v>3688</v>
      </c>
      <c r="U47" t="str">
        <f t="shared" si="2"/>
        <v>No</v>
      </c>
      <c r="V47">
        <f t="shared" si="3"/>
        <v>0</v>
      </c>
      <c r="W47" t="str">
        <f t="shared" si="4"/>
        <v>Yes</v>
      </c>
    </row>
    <row r="48" spans="1:23" x14ac:dyDescent="0.3">
      <c r="A48" s="12" t="s">
        <v>188</v>
      </c>
      <c r="B48" s="12" t="s">
        <v>189</v>
      </c>
      <c r="C48" s="12" t="s">
        <v>31</v>
      </c>
      <c r="D48" s="12" t="s">
        <v>57</v>
      </c>
      <c r="E48" s="13">
        <v>45340</v>
      </c>
      <c r="F48" s="13">
        <v>45587</v>
      </c>
      <c r="G48" s="13">
        <v>45566</v>
      </c>
      <c r="H48" s="12" t="s">
        <v>74</v>
      </c>
      <c r="I48" s="12" t="s">
        <v>30</v>
      </c>
      <c r="J48" s="12" t="s">
        <v>88</v>
      </c>
      <c r="K48" s="12" t="s">
        <v>114</v>
      </c>
      <c r="L48" s="12" t="s">
        <v>191</v>
      </c>
      <c r="M48" s="12" t="s">
        <v>77</v>
      </c>
      <c r="N48" s="12" t="s">
        <v>45</v>
      </c>
      <c r="O48" s="12">
        <v>27</v>
      </c>
      <c r="P48" s="14">
        <v>3233</v>
      </c>
      <c r="Q48" s="14">
        <v>0</v>
      </c>
      <c r="R48" s="15">
        <v>0.38</v>
      </c>
      <c r="S48">
        <f t="shared" si="0"/>
        <v>247</v>
      </c>
      <c r="T48">
        <f t="shared" si="1"/>
        <v>1228.54</v>
      </c>
      <c r="U48" t="str">
        <f t="shared" si="2"/>
        <v>No</v>
      </c>
      <c r="V48">
        <f t="shared" si="3"/>
        <v>0</v>
      </c>
      <c r="W48" t="str">
        <f t="shared" si="4"/>
        <v>No</v>
      </c>
    </row>
    <row r="49" spans="1:23" x14ac:dyDescent="0.3">
      <c r="A49" s="5" t="s">
        <v>188</v>
      </c>
      <c r="B49" s="5" t="s">
        <v>189</v>
      </c>
      <c r="C49" s="5" t="s">
        <v>31</v>
      </c>
      <c r="D49" s="5" t="s">
        <v>87</v>
      </c>
      <c r="E49" s="16">
        <v>45340</v>
      </c>
      <c r="F49" s="16">
        <v>45550</v>
      </c>
      <c r="G49" s="16">
        <v>45536</v>
      </c>
      <c r="H49" s="5" t="s">
        <v>69</v>
      </c>
      <c r="I49" s="5" t="s">
        <v>30</v>
      </c>
      <c r="J49" s="5" t="s">
        <v>90</v>
      </c>
      <c r="K49" s="5" t="s">
        <v>116</v>
      </c>
      <c r="L49" s="5" t="s">
        <v>192</v>
      </c>
      <c r="M49" s="5" t="s">
        <v>77</v>
      </c>
      <c r="N49" s="5" t="s">
        <v>45</v>
      </c>
      <c r="O49" s="5">
        <v>25</v>
      </c>
      <c r="P49" s="7">
        <v>8366</v>
      </c>
      <c r="Q49" s="7">
        <v>0</v>
      </c>
      <c r="R49" s="17">
        <v>0.55000000000000004</v>
      </c>
      <c r="S49">
        <f t="shared" si="0"/>
        <v>210</v>
      </c>
      <c r="T49">
        <f t="shared" si="1"/>
        <v>4601.3</v>
      </c>
      <c r="U49" t="str">
        <f t="shared" si="2"/>
        <v>No</v>
      </c>
      <c r="V49">
        <f t="shared" si="3"/>
        <v>0</v>
      </c>
      <c r="W49" t="str">
        <f t="shared" si="4"/>
        <v>No</v>
      </c>
    </row>
    <row r="50" spans="1:23" x14ac:dyDescent="0.3">
      <c r="A50" s="12" t="s">
        <v>193</v>
      </c>
      <c r="B50" s="12" t="s">
        <v>194</v>
      </c>
      <c r="C50" s="12" t="s">
        <v>37</v>
      </c>
      <c r="D50" s="12" t="s">
        <v>34</v>
      </c>
      <c r="E50" s="13">
        <v>45326</v>
      </c>
      <c r="F50" s="13">
        <v>45590</v>
      </c>
      <c r="G50" s="13">
        <v>45566</v>
      </c>
      <c r="H50" s="12" t="s">
        <v>74</v>
      </c>
      <c r="I50" s="12" t="s">
        <v>36</v>
      </c>
      <c r="J50" s="12" t="s">
        <v>92</v>
      </c>
      <c r="K50" s="12" t="s">
        <v>112</v>
      </c>
      <c r="L50" s="12" t="s">
        <v>195</v>
      </c>
      <c r="M50" s="12" t="s">
        <v>77</v>
      </c>
      <c r="N50" s="12" t="s">
        <v>45</v>
      </c>
      <c r="O50" s="12">
        <v>40</v>
      </c>
      <c r="P50" s="14">
        <v>1856</v>
      </c>
      <c r="Q50" s="14">
        <v>0</v>
      </c>
      <c r="R50" s="15">
        <v>0.87</v>
      </c>
      <c r="S50">
        <f t="shared" si="0"/>
        <v>264</v>
      </c>
      <c r="T50">
        <f t="shared" si="1"/>
        <v>1614.72</v>
      </c>
      <c r="U50" t="str">
        <f t="shared" si="2"/>
        <v>No</v>
      </c>
      <c r="V50">
        <f t="shared" si="3"/>
        <v>0</v>
      </c>
      <c r="W50" t="str">
        <f t="shared" si="4"/>
        <v>No</v>
      </c>
    </row>
    <row r="51" spans="1:23" x14ac:dyDescent="0.3">
      <c r="A51" s="5" t="s">
        <v>193</v>
      </c>
      <c r="B51" s="5" t="s">
        <v>194</v>
      </c>
      <c r="C51" s="5" t="s">
        <v>37</v>
      </c>
      <c r="D51" s="5" t="s">
        <v>52</v>
      </c>
      <c r="E51" s="16">
        <v>45326</v>
      </c>
      <c r="F51" s="16">
        <v>45558</v>
      </c>
      <c r="G51" s="16">
        <v>45536</v>
      </c>
      <c r="H51" s="5" t="s">
        <v>69</v>
      </c>
      <c r="I51" s="5" t="s">
        <v>36</v>
      </c>
      <c r="J51" s="5" t="s">
        <v>88</v>
      </c>
      <c r="K51" s="5" t="s">
        <v>114</v>
      </c>
      <c r="L51" s="5" t="s">
        <v>196</v>
      </c>
      <c r="M51" s="5" t="s">
        <v>30</v>
      </c>
      <c r="N51" s="5" t="s">
        <v>33</v>
      </c>
      <c r="O51" s="5">
        <v>34</v>
      </c>
      <c r="P51" s="7">
        <v>5620</v>
      </c>
      <c r="Q51" s="7">
        <v>5481</v>
      </c>
      <c r="R51" s="17">
        <v>1</v>
      </c>
      <c r="S51">
        <f t="shared" si="0"/>
        <v>232</v>
      </c>
      <c r="T51">
        <f t="shared" si="1"/>
        <v>5620</v>
      </c>
      <c r="U51" t="str">
        <f t="shared" si="2"/>
        <v>No</v>
      </c>
      <c r="V51">
        <f t="shared" si="3"/>
        <v>0</v>
      </c>
      <c r="W51" t="str">
        <f t="shared" si="4"/>
        <v>Yes</v>
      </c>
    </row>
    <row r="52" spans="1:23" x14ac:dyDescent="0.3">
      <c r="A52" s="12" t="s">
        <v>193</v>
      </c>
      <c r="B52" s="12" t="s">
        <v>194</v>
      </c>
      <c r="C52" s="12" t="s">
        <v>37</v>
      </c>
      <c r="D52" s="12" t="s">
        <v>67</v>
      </c>
      <c r="E52" s="13">
        <v>45326</v>
      </c>
      <c r="F52" s="13">
        <v>45579</v>
      </c>
      <c r="G52" s="13">
        <v>45566</v>
      </c>
      <c r="H52" s="12" t="s">
        <v>74</v>
      </c>
      <c r="I52" s="12" t="s">
        <v>36</v>
      </c>
      <c r="J52" s="12" t="s">
        <v>88</v>
      </c>
      <c r="K52" s="12" t="s">
        <v>116</v>
      </c>
      <c r="L52" s="12" t="s">
        <v>197</v>
      </c>
      <c r="M52" s="12" t="s">
        <v>73</v>
      </c>
      <c r="N52" s="12" t="s">
        <v>39</v>
      </c>
      <c r="O52" s="12">
        <v>18</v>
      </c>
      <c r="P52" s="14">
        <v>1904</v>
      </c>
      <c r="Q52" s="14">
        <v>0</v>
      </c>
      <c r="R52" s="15">
        <v>0.62</v>
      </c>
      <c r="S52">
        <f t="shared" si="0"/>
        <v>253</v>
      </c>
      <c r="T52">
        <f t="shared" si="1"/>
        <v>1180.48</v>
      </c>
      <c r="U52" t="str">
        <f t="shared" si="2"/>
        <v>No</v>
      </c>
      <c r="V52">
        <f t="shared" si="3"/>
        <v>0</v>
      </c>
      <c r="W52" t="str">
        <f t="shared" si="4"/>
        <v>No</v>
      </c>
    </row>
    <row r="53" spans="1:23" x14ac:dyDescent="0.3">
      <c r="A53" s="5" t="s">
        <v>198</v>
      </c>
      <c r="B53" s="5" t="s">
        <v>199</v>
      </c>
      <c r="C53" s="5" t="s">
        <v>43</v>
      </c>
      <c r="D53" s="5" t="s">
        <v>62</v>
      </c>
      <c r="E53" s="16">
        <v>45537</v>
      </c>
      <c r="F53" s="16">
        <v>45356</v>
      </c>
      <c r="G53" s="16">
        <v>45352</v>
      </c>
      <c r="H53" s="5" t="s">
        <v>38</v>
      </c>
      <c r="I53" s="5" t="s">
        <v>42</v>
      </c>
      <c r="J53" s="5" t="s">
        <v>90</v>
      </c>
      <c r="K53" s="5" t="s">
        <v>112</v>
      </c>
      <c r="L53" s="5" t="s">
        <v>200</v>
      </c>
      <c r="M53" s="5" t="s">
        <v>73</v>
      </c>
      <c r="N53" s="5" t="s">
        <v>51</v>
      </c>
      <c r="O53" s="5">
        <v>26</v>
      </c>
      <c r="P53" s="7">
        <v>5908</v>
      </c>
      <c r="Q53" s="7">
        <v>0</v>
      </c>
      <c r="R53" s="17">
        <v>0.66</v>
      </c>
      <c r="S53">
        <f t="shared" si="0"/>
        <v>-181</v>
      </c>
      <c r="T53">
        <f t="shared" si="1"/>
        <v>3899.28</v>
      </c>
      <c r="U53" t="str">
        <f t="shared" si="2"/>
        <v>No</v>
      </c>
      <c r="V53">
        <f t="shared" si="3"/>
        <v>0</v>
      </c>
      <c r="W53" t="str">
        <f t="shared" si="4"/>
        <v>No</v>
      </c>
    </row>
    <row r="54" spans="1:23" x14ac:dyDescent="0.3">
      <c r="A54" s="12" t="s">
        <v>198</v>
      </c>
      <c r="B54" s="12" t="s">
        <v>199</v>
      </c>
      <c r="C54" s="12" t="s">
        <v>43</v>
      </c>
      <c r="D54" s="12" t="s">
        <v>82</v>
      </c>
      <c r="E54" s="13">
        <v>45537</v>
      </c>
      <c r="F54" s="13">
        <v>45352</v>
      </c>
      <c r="G54" s="13">
        <v>45352</v>
      </c>
      <c r="H54" s="12" t="s">
        <v>38</v>
      </c>
      <c r="I54" s="12" t="s">
        <v>42</v>
      </c>
      <c r="J54" s="12" t="s">
        <v>90</v>
      </c>
      <c r="K54" s="12" t="s">
        <v>114</v>
      </c>
      <c r="L54" s="12" t="s">
        <v>201</v>
      </c>
      <c r="M54" s="12" t="s">
        <v>73</v>
      </c>
      <c r="N54" s="12" t="s">
        <v>51</v>
      </c>
      <c r="O54" s="12">
        <v>37</v>
      </c>
      <c r="P54" s="14">
        <v>2176</v>
      </c>
      <c r="Q54" s="14">
        <v>0</v>
      </c>
      <c r="R54" s="15">
        <v>0.54</v>
      </c>
      <c r="S54">
        <f t="shared" si="0"/>
        <v>-185</v>
      </c>
      <c r="T54">
        <f t="shared" si="1"/>
        <v>1175.04</v>
      </c>
      <c r="U54" t="str">
        <f t="shared" si="2"/>
        <v>No</v>
      </c>
      <c r="V54">
        <f t="shared" si="3"/>
        <v>0</v>
      </c>
      <c r="W54" t="str">
        <f t="shared" si="4"/>
        <v>No</v>
      </c>
    </row>
    <row r="55" spans="1:23" x14ac:dyDescent="0.3">
      <c r="A55" s="5" t="s">
        <v>198</v>
      </c>
      <c r="B55" s="5" t="s">
        <v>199</v>
      </c>
      <c r="C55" s="5" t="s">
        <v>43</v>
      </c>
      <c r="D55" s="5" t="s">
        <v>46</v>
      </c>
      <c r="E55" s="16">
        <v>45537</v>
      </c>
      <c r="F55" s="16">
        <v>45347</v>
      </c>
      <c r="G55" s="16">
        <v>45323</v>
      </c>
      <c r="H55" s="5" t="s">
        <v>32</v>
      </c>
      <c r="I55" s="5" t="s">
        <v>42</v>
      </c>
      <c r="J55" s="5" t="s">
        <v>90</v>
      </c>
      <c r="K55" s="5" t="s">
        <v>116</v>
      </c>
      <c r="L55" s="5" t="s">
        <v>202</v>
      </c>
      <c r="M55" s="5" t="s">
        <v>77</v>
      </c>
      <c r="N55" s="5" t="s">
        <v>51</v>
      </c>
      <c r="O55" s="5">
        <v>7</v>
      </c>
      <c r="P55" s="7">
        <v>9002</v>
      </c>
      <c r="Q55" s="7">
        <v>0</v>
      </c>
      <c r="R55" s="17">
        <v>0.2</v>
      </c>
      <c r="S55">
        <f t="shared" si="0"/>
        <v>-190</v>
      </c>
      <c r="T55">
        <f t="shared" si="1"/>
        <v>1800.4</v>
      </c>
      <c r="U55" t="str">
        <f t="shared" si="2"/>
        <v>No</v>
      </c>
      <c r="V55">
        <f t="shared" si="3"/>
        <v>0</v>
      </c>
      <c r="W55" t="str">
        <f t="shared" si="4"/>
        <v>No</v>
      </c>
    </row>
    <row r="56" spans="1:23" x14ac:dyDescent="0.3">
      <c r="A56" s="12" t="s">
        <v>203</v>
      </c>
      <c r="B56" s="12" t="s">
        <v>204</v>
      </c>
      <c r="C56" s="12" t="s">
        <v>49</v>
      </c>
      <c r="D56" s="12" t="s">
        <v>57</v>
      </c>
      <c r="E56" s="13">
        <v>45571</v>
      </c>
      <c r="F56" s="13">
        <v>45656</v>
      </c>
      <c r="G56" s="13">
        <v>45627</v>
      </c>
      <c r="H56" s="12" t="s">
        <v>81</v>
      </c>
      <c r="I56" s="12" t="s">
        <v>42</v>
      </c>
      <c r="J56" s="12" t="s">
        <v>88</v>
      </c>
      <c r="K56" s="12" t="s">
        <v>112</v>
      </c>
      <c r="L56" s="12" t="s">
        <v>205</v>
      </c>
      <c r="M56" s="12" t="s">
        <v>77</v>
      </c>
      <c r="N56" s="12" t="s">
        <v>51</v>
      </c>
      <c r="O56" s="12">
        <v>11</v>
      </c>
      <c r="P56" s="14">
        <v>6821</v>
      </c>
      <c r="Q56" s="14">
        <v>0</v>
      </c>
      <c r="R56" s="15">
        <v>0.61</v>
      </c>
      <c r="S56">
        <f t="shared" si="0"/>
        <v>85</v>
      </c>
      <c r="T56">
        <f t="shared" si="1"/>
        <v>4160.8099999999995</v>
      </c>
      <c r="U56" t="str">
        <f t="shared" si="2"/>
        <v>No</v>
      </c>
      <c r="V56">
        <f t="shared" si="3"/>
        <v>0</v>
      </c>
      <c r="W56" t="str">
        <f t="shared" si="4"/>
        <v>No</v>
      </c>
    </row>
    <row r="57" spans="1:23" x14ac:dyDescent="0.3">
      <c r="A57" s="5" t="s">
        <v>203</v>
      </c>
      <c r="B57" s="5" t="s">
        <v>204</v>
      </c>
      <c r="C57" s="5" t="s">
        <v>49</v>
      </c>
      <c r="D57" s="5" t="s">
        <v>62</v>
      </c>
      <c r="E57" s="16">
        <v>45571</v>
      </c>
      <c r="F57" s="16">
        <v>45560</v>
      </c>
      <c r="G57" s="16">
        <v>45536</v>
      </c>
      <c r="H57" s="5" t="s">
        <v>69</v>
      </c>
      <c r="I57" s="5" t="s">
        <v>42</v>
      </c>
      <c r="J57" s="5" t="s">
        <v>90</v>
      </c>
      <c r="K57" s="5" t="s">
        <v>114</v>
      </c>
      <c r="L57" s="5" t="s">
        <v>206</v>
      </c>
      <c r="M57" s="5" t="s">
        <v>30</v>
      </c>
      <c r="N57" s="5" t="s">
        <v>56</v>
      </c>
      <c r="O57" s="5">
        <v>1</v>
      </c>
      <c r="P57" s="7">
        <v>7324</v>
      </c>
      <c r="Q57" s="7">
        <v>7263</v>
      </c>
      <c r="R57" s="17">
        <v>1</v>
      </c>
      <c r="S57">
        <f t="shared" si="0"/>
        <v>-11</v>
      </c>
      <c r="T57">
        <f t="shared" si="1"/>
        <v>7324</v>
      </c>
      <c r="U57" t="str">
        <f t="shared" si="2"/>
        <v>No</v>
      </c>
      <c r="V57">
        <f t="shared" si="3"/>
        <v>0</v>
      </c>
      <c r="W57" t="str">
        <f t="shared" si="4"/>
        <v>Yes</v>
      </c>
    </row>
    <row r="58" spans="1:23" x14ac:dyDescent="0.3">
      <c r="A58" s="12" t="s">
        <v>203</v>
      </c>
      <c r="B58" s="12" t="s">
        <v>204</v>
      </c>
      <c r="C58" s="12" t="s">
        <v>49</v>
      </c>
      <c r="D58" s="12" t="s">
        <v>67</v>
      </c>
      <c r="E58" s="13">
        <v>45571</v>
      </c>
      <c r="F58" s="13">
        <v>45650</v>
      </c>
      <c r="G58" s="13">
        <v>45627</v>
      </c>
      <c r="H58" s="12" t="s">
        <v>81</v>
      </c>
      <c r="I58" s="12" t="s">
        <v>42</v>
      </c>
      <c r="J58" s="12" t="s">
        <v>90</v>
      </c>
      <c r="K58" s="12" t="s">
        <v>116</v>
      </c>
      <c r="L58" s="12" t="s">
        <v>207</v>
      </c>
      <c r="M58" s="12" t="s">
        <v>77</v>
      </c>
      <c r="N58" s="12" t="s">
        <v>33</v>
      </c>
      <c r="O58" s="12">
        <v>13</v>
      </c>
      <c r="P58" s="14">
        <v>3099</v>
      </c>
      <c r="Q58" s="14">
        <v>0</v>
      </c>
      <c r="R58" s="15">
        <v>0.46</v>
      </c>
      <c r="S58">
        <f t="shared" si="0"/>
        <v>79</v>
      </c>
      <c r="T58">
        <f t="shared" si="1"/>
        <v>1425.54</v>
      </c>
      <c r="U58" t="str">
        <f t="shared" si="2"/>
        <v>No</v>
      </c>
      <c r="V58">
        <f t="shared" si="3"/>
        <v>0</v>
      </c>
      <c r="W58" t="str">
        <f t="shared" si="4"/>
        <v>No</v>
      </c>
    </row>
    <row r="59" spans="1:23" x14ac:dyDescent="0.3">
      <c r="A59" s="5" t="s">
        <v>208</v>
      </c>
      <c r="B59" s="5" t="s">
        <v>209</v>
      </c>
      <c r="C59" s="5" t="s">
        <v>54</v>
      </c>
      <c r="D59" s="5" t="s">
        <v>40</v>
      </c>
      <c r="E59" s="16">
        <v>45569</v>
      </c>
      <c r="F59" s="16">
        <v>45476</v>
      </c>
      <c r="G59" s="16">
        <v>45474</v>
      </c>
      <c r="H59" s="5" t="s">
        <v>60</v>
      </c>
      <c r="I59" s="5" t="s">
        <v>30</v>
      </c>
      <c r="J59" s="5" t="s">
        <v>90</v>
      </c>
      <c r="K59" s="5" t="s">
        <v>112</v>
      </c>
      <c r="L59" s="5" t="s">
        <v>210</v>
      </c>
      <c r="M59" s="5" t="s">
        <v>30</v>
      </c>
      <c r="N59" s="5" t="s">
        <v>45</v>
      </c>
      <c r="O59" s="5">
        <v>18</v>
      </c>
      <c r="P59" s="7">
        <v>7962</v>
      </c>
      <c r="Q59" s="7">
        <v>7526</v>
      </c>
      <c r="R59" s="17">
        <v>1</v>
      </c>
      <c r="S59">
        <f t="shared" si="0"/>
        <v>-93</v>
      </c>
      <c r="T59">
        <f t="shared" si="1"/>
        <v>7962</v>
      </c>
      <c r="U59" t="str">
        <f t="shared" si="2"/>
        <v>No</v>
      </c>
      <c r="V59">
        <f t="shared" si="3"/>
        <v>0</v>
      </c>
      <c r="W59" t="str">
        <f t="shared" si="4"/>
        <v>Yes</v>
      </c>
    </row>
    <row r="60" spans="1:23" x14ac:dyDescent="0.3">
      <c r="A60" s="12" t="s">
        <v>208</v>
      </c>
      <c r="B60" s="12" t="s">
        <v>209</v>
      </c>
      <c r="C60" s="12" t="s">
        <v>54</v>
      </c>
      <c r="D60" s="12" t="s">
        <v>79</v>
      </c>
      <c r="E60" s="13">
        <v>45569</v>
      </c>
      <c r="F60" s="13">
        <v>45506</v>
      </c>
      <c r="G60" s="13">
        <v>45505</v>
      </c>
      <c r="H60" s="12" t="s">
        <v>65</v>
      </c>
      <c r="I60" s="12" t="s">
        <v>30</v>
      </c>
      <c r="J60" s="12" t="s">
        <v>88</v>
      </c>
      <c r="K60" s="12" t="s">
        <v>114</v>
      </c>
      <c r="L60" s="12" t="s">
        <v>211</v>
      </c>
      <c r="M60" s="12" t="s">
        <v>73</v>
      </c>
      <c r="N60" s="12" t="s">
        <v>51</v>
      </c>
      <c r="O60" s="12">
        <v>36</v>
      </c>
      <c r="P60" s="14">
        <v>7221</v>
      </c>
      <c r="Q60" s="14">
        <v>0</v>
      </c>
      <c r="R60" s="15">
        <v>0.84</v>
      </c>
      <c r="S60">
        <f t="shared" si="0"/>
        <v>-63</v>
      </c>
      <c r="T60">
        <f t="shared" si="1"/>
        <v>6065.6399999999994</v>
      </c>
      <c r="U60" t="str">
        <f t="shared" si="2"/>
        <v>No</v>
      </c>
      <c r="V60">
        <f t="shared" si="3"/>
        <v>0</v>
      </c>
      <c r="W60" t="str">
        <f t="shared" si="4"/>
        <v>No</v>
      </c>
    </row>
    <row r="61" spans="1:23" x14ac:dyDescent="0.3">
      <c r="A61" s="5" t="s">
        <v>208</v>
      </c>
      <c r="B61" s="5" t="s">
        <v>209</v>
      </c>
      <c r="C61" s="5" t="s">
        <v>54</v>
      </c>
      <c r="D61" s="5" t="s">
        <v>40</v>
      </c>
      <c r="E61" s="16">
        <v>45569</v>
      </c>
      <c r="F61" s="16">
        <v>45475</v>
      </c>
      <c r="G61" s="16">
        <v>45474</v>
      </c>
      <c r="H61" s="5" t="s">
        <v>60</v>
      </c>
      <c r="I61" s="5" t="s">
        <v>30</v>
      </c>
      <c r="J61" s="5" t="s">
        <v>88</v>
      </c>
      <c r="K61" s="5" t="s">
        <v>116</v>
      </c>
      <c r="L61" s="5" t="s">
        <v>212</v>
      </c>
      <c r="M61" s="5" t="s">
        <v>77</v>
      </c>
      <c r="N61" s="5" t="s">
        <v>51</v>
      </c>
      <c r="O61" s="5">
        <v>24</v>
      </c>
      <c r="P61" s="7">
        <v>7256</v>
      </c>
      <c r="Q61" s="7">
        <v>0</v>
      </c>
      <c r="R61" s="17">
        <v>0.11</v>
      </c>
      <c r="S61">
        <f t="shared" si="0"/>
        <v>-94</v>
      </c>
      <c r="T61">
        <f t="shared" si="1"/>
        <v>798.16</v>
      </c>
      <c r="U61" t="str">
        <f t="shared" si="2"/>
        <v>No</v>
      </c>
      <c r="V61">
        <f t="shared" si="3"/>
        <v>0</v>
      </c>
      <c r="W61" t="str">
        <f t="shared" si="4"/>
        <v>No</v>
      </c>
    </row>
    <row r="62" spans="1:23" x14ac:dyDescent="0.3">
      <c r="A62" s="12" t="s">
        <v>213</v>
      </c>
      <c r="B62" s="12" t="s">
        <v>214</v>
      </c>
      <c r="C62" s="12" t="s">
        <v>31</v>
      </c>
      <c r="D62" s="12" t="s">
        <v>82</v>
      </c>
      <c r="E62" s="13">
        <v>45372</v>
      </c>
      <c r="F62" s="13">
        <v>45641</v>
      </c>
      <c r="G62" s="13">
        <v>45627</v>
      </c>
      <c r="H62" s="12" t="s">
        <v>81</v>
      </c>
      <c r="I62" s="12" t="s">
        <v>42</v>
      </c>
      <c r="J62" s="12" t="s">
        <v>88</v>
      </c>
      <c r="K62" s="12" t="s">
        <v>112</v>
      </c>
      <c r="L62" s="12" t="s">
        <v>215</v>
      </c>
      <c r="M62" s="12" t="s">
        <v>73</v>
      </c>
      <c r="N62" s="12" t="s">
        <v>39</v>
      </c>
      <c r="O62" s="12">
        <v>26</v>
      </c>
      <c r="P62" s="14">
        <v>8483</v>
      </c>
      <c r="Q62" s="14">
        <v>0</v>
      </c>
      <c r="R62" s="15">
        <v>0.43</v>
      </c>
      <c r="S62">
        <f t="shared" si="0"/>
        <v>269</v>
      </c>
      <c r="T62">
        <f t="shared" si="1"/>
        <v>3647.69</v>
      </c>
      <c r="U62" t="str">
        <f t="shared" si="2"/>
        <v>No</v>
      </c>
      <c r="V62">
        <f t="shared" si="3"/>
        <v>0</v>
      </c>
      <c r="W62" t="str">
        <f t="shared" si="4"/>
        <v>No</v>
      </c>
    </row>
    <row r="63" spans="1:23" x14ac:dyDescent="0.3">
      <c r="A63" s="5" t="s">
        <v>213</v>
      </c>
      <c r="B63" s="5" t="s">
        <v>214</v>
      </c>
      <c r="C63" s="5" t="s">
        <v>31</v>
      </c>
      <c r="D63" s="5" t="s">
        <v>40</v>
      </c>
      <c r="E63" s="16">
        <v>45372</v>
      </c>
      <c r="F63" s="16">
        <v>45560</v>
      </c>
      <c r="G63" s="16">
        <v>45536</v>
      </c>
      <c r="H63" s="5" t="s">
        <v>69</v>
      </c>
      <c r="I63" s="5" t="s">
        <v>42</v>
      </c>
      <c r="J63" s="5" t="s">
        <v>88</v>
      </c>
      <c r="K63" s="5" t="s">
        <v>114</v>
      </c>
      <c r="L63" s="5" t="s">
        <v>216</v>
      </c>
      <c r="M63" s="5" t="s">
        <v>30</v>
      </c>
      <c r="N63" s="5" t="s">
        <v>70</v>
      </c>
      <c r="O63" s="5">
        <v>21</v>
      </c>
      <c r="P63" s="7">
        <v>2463</v>
      </c>
      <c r="Q63" s="7">
        <v>2091</v>
      </c>
      <c r="R63" s="17">
        <v>1</v>
      </c>
      <c r="S63">
        <f t="shared" si="0"/>
        <v>188</v>
      </c>
      <c r="T63">
        <f t="shared" si="1"/>
        <v>2463</v>
      </c>
      <c r="U63" t="str">
        <f t="shared" si="2"/>
        <v>No</v>
      </c>
      <c r="V63">
        <f t="shared" si="3"/>
        <v>0</v>
      </c>
      <c r="W63" t="str">
        <f t="shared" si="4"/>
        <v>Yes</v>
      </c>
    </row>
    <row r="64" spans="1:23" x14ac:dyDescent="0.3">
      <c r="A64" s="12" t="s">
        <v>213</v>
      </c>
      <c r="B64" s="12" t="s">
        <v>214</v>
      </c>
      <c r="C64" s="12" t="s">
        <v>31</v>
      </c>
      <c r="D64" s="12" t="s">
        <v>67</v>
      </c>
      <c r="E64" s="13">
        <v>45372</v>
      </c>
      <c r="F64" s="13">
        <v>45555</v>
      </c>
      <c r="G64" s="13">
        <v>45536</v>
      </c>
      <c r="H64" s="12" t="s">
        <v>69</v>
      </c>
      <c r="I64" s="12" t="s">
        <v>42</v>
      </c>
      <c r="J64" s="12" t="s">
        <v>88</v>
      </c>
      <c r="K64" s="12" t="s">
        <v>116</v>
      </c>
      <c r="L64" s="12" t="s">
        <v>217</v>
      </c>
      <c r="M64" s="12" t="s">
        <v>30</v>
      </c>
      <c r="N64" s="12" t="s">
        <v>56</v>
      </c>
      <c r="O64" s="12">
        <v>15</v>
      </c>
      <c r="P64" s="14">
        <v>8372</v>
      </c>
      <c r="Q64" s="14">
        <v>7940</v>
      </c>
      <c r="R64" s="15">
        <v>1</v>
      </c>
      <c r="S64">
        <f t="shared" si="0"/>
        <v>183</v>
      </c>
      <c r="T64">
        <f t="shared" si="1"/>
        <v>8372</v>
      </c>
      <c r="U64" t="str">
        <f t="shared" si="2"/>
        <v>No</v>
      </c>
      <c r="V64">
        <f t="shared" si="3"/>
        <v>0</v>
      </c>
      <c r="W64" t="str">
        <f t="shared" si="4"/>
        <v>Yes</v>
      </c>
    </row>
    <row r="65" spans="1:23" x14ac:dyDescent="0.3">
      <c r="A65" s="5" t="s">
        <v>218</v>
      </c>
      <c r="B65" s="5" t="s">
        <v>219</v>
      </c>
      <c r="C65" s="5" t="s">
        <v>59</v>
      </c>
      <c r="D65" s="5" t="s">
        <v>40</v>
      </c>
      <c r="E65" s="16">
        <v>45536</v>
      </c>
      <c r="F65" s="16">
        <v>45393</v>
      </c>
      <c r="G65" s="16">
        <v>45383</v>
      </c>
      <c r="H65" s="5" t="s">
        <v>44</v>
      </c>
      <c r="I65" s="5" t="s">
        <v>36</v>
      </c>
      <c r="J65" s="5" t="s">
        <v>88</v>
      </c>
      <c r="K65" s="5" t="s">
        <v>112</v>
      </c>
      <c r="L65" s="5" t="s">
        <v>220</v>
      </c>
      <c r="M65" s="5" t="s">
        <v>73</v>
      </c>
      <c r="N65" s="5" t="s">
        <v>56</v>
      </c>
      <c r="O65" s="5">
        <v>6</v>
      </c>
      <c r="P65" s="7">
        <v>8903</v>
      </c>
      <c r="Q65" s="7">
        <v>0</v>
      </c>
      <c r="R65" s="17">
        <v>0.68</v>
      </c>
      <c r="S65">
        <f t="shared" si="0"/>
        <v>-143</v>
      </c>
      <c r="T65">
        <f t="shared" si="1"/>
        <v>6054.0400000000009</v>
      </c>
      <c r="U65" t="str">
        <f t="shared" si="2"/>
        <v>No</v>
      </c>
      <c r="V65">
        <f t="shared" si="3"/>
        <v>0</v>
      </c>
      <c r="W65" t="str">
        <f t="shared" si="4"/>
        <v>No</v>
      </c>
    </row>
    <row r="66" spans="1:23" x14ac:dyDescent="0.3">
      <c r="A66" s="12" t="s">
        <v>218</v>
      </c>
      <c r="B66" s="12" t="s">
        <v>219</v>
      </c>
      <c r="C66" s="12" t="s">
        <v>59</v>
      </c>
      <c r="D66" s="12" t="s">
        <v>79</v>
      </c>
      <c r="E66" s="13">
        <v>45536</v>
      </c>
      <c r="F66" s="13">
        <v>45410</v>
      </c>
      <c r="G66" s="13">
        <v>45383</v>
      </c>
      <c r="H66" s="12" t="s">
        <v>44</v>
      </c>
      <c r="I66" s="12" t="s">
        <v>36</v>
      </c>
      <c r="J66" s="12" t="s">
        <v>90</v>
      </c>
      <c r="K66" s="12" t="s">
        <v>114</v>
      </c>
      <c r="L66" s="12" t="s">
        <v>221</v>
      </c>
      <c r="M66" s="12" t="s">
        <v>73</v>
      </c>
      <c r="N66" s="12" t="s">
        <v>51</v>
      </c>
      <c r="O66" s="12">
        <v>7</v>
      </c>
      <c r="P66" s="14">
        <v>1255</v>
      </c>
      <c r="Q66" s="14">
        <v>0</v>
      </c>
      <c r="R66" s="15">
        <v>0.28000000000000003</v>
      </c>
      <c r="S66">
        <f t="shared" si="0"/>
        <v>-126</v>
      </c>
      <c r="T66">
        <f t="shared" si="1"/>
        <v>351.40000000000003</v>
      </c>
      <c r="U66" t="str">
        <f t="shared" si="2"/>
        <v>No</v>
      </c>
      <c r="V66">
        <f t="shared" si="3"/>
        <v>0</v>
      </c>
      <c r="W66" t="str">
        <f t="shared" si="4"/>
        <v>No</v>
      </c>
    </row>
    <row r="67" spans="1:23" x14ac:dyDescent="0.3">
      <c r="A67" s="5" t="s">
        <v>218</v>
      </c>
      <c r="B67" s="5" t="s">
        <v>219</v>
      </c>
      <c r="C67" s="5" t="s">
        <v>59</v>
      </c>
      <c r="D67" s="5" t="s">
        <v>34</v>
      </c>
      <c r="E67" s="16">
        <v>45536</v>
      </c>
      <c r="F67" s="16">
        <v>45406</v>
      </c>
      <c r="G67" s="16">
        <v>45383</v>
      </c>
      <c r="H67" s="5" t="s">
        <v>44</v>
      </c>
      <c r="I67" s="5" t="s">
        <v>36</v>
      </c>
      <c r="J67" s="5" t="s">
        <v>88</v>
      </c>
      <c r="K67" s="5" t="s">
        <v>116</v>
      </c>
      <c r="L67" s="5" t="s">
        <v>222</v>
      </c>
      <c r="M67" s="5" t="s">
        <v>73</v>
      </c>
      <c r="N67" s="5" t="s">
        <v>56</v>
      </c>
      <c r="O67" s="5">
        <v>18</v>
      </c>
      <c r="P67" s="7">
        <v>1424</v>
      </c>
      <c r="Q67" s="7">
        <v>2183</v>
      </c>
      <c r="R67" s="17">
        <v>0.77</v>
      </c>
      <c r="S67">
        <f t="shared" ref="S67:S130" si="5">F67-E67</f>
        <v>-130</v>
      </c>
      <c r="T67">
        <f t="shared" ref="T67:T130" si="6">R67*P67</f>
        <v>1096.48</v>
      </c>
      <c r="U67" t="str">
        <f t="shared" ref="U67:U130" si="7">IF(AND(Q67&gt;0,Q67&gt;P67),"Yes","No")</f>
        <v>Yes</v>
      </c>
      <c r="V67">
        <f t="shared" ref="V67:V130" si="8">IF(U67="Yes",Q67-P67,0)</f>
        <v>759</v>
      </c>
      <c r="W67" t="str">
        <f t="shared" ref="W67:W130" si="9">IF(Q67&gt;0,"Yes","No")</f>
        <v>Yes</v>
      </c>
    </row>
    <row r="68" spans="1:23" x14ac:dyDescent="0.3">
      <c r="A68" s="12" t="s">
        <v>223</v>
      </c>
      <c r="B68" s="12" t="s">
        <v>224</v>
      </c>
      <c r="C68" s="12" t="s">
        <v>43</v>
      </c>
      <c r="D68" s="12" t="s">
        <v>34</v>
      </c>
      <c r="E68" s="13">
        <v>45383</v>
      </c>
      <c r="F68" s="13">
        <v>45430</v>
      </c>
      <c r="G68" s="13">
        <v>45413</v>
      </c>
      <c r="H68" s="12" t="s">
        <v>50</v>
      </c>
      <c r="I68" s="12" t="s">
        <v>42</v>
      </c>
      <c r="J68" s="12" t="s">
        <v>88</v>
      </c>
      <c r="K68" s="12" t="s">
        <v>112</v>
      </c>
      <c r="L68" s="12" t="s">
        <v>225</v>
      </c>
      <c r="M68" s="12" t="s">
        <v>77</v>
      </c>
      <c r="N68" s="12" t="s">
        <v>39</v>
      </c>
      <c r="O68" s="12">
        <v>17</v>
      </c>
      <c r="P68" s="14">
        <v>3662</v>
      </c>
      <c r="Q68" s="14">
        <v>0</v>
      </c>
      <c r="R68" s="15">
        <v>0.45</v>
      </c>
      <c r="S68">
        <f t="shared" si="5"/>
        <v>47</v>
      </c>
      <c r="T68">
        <f t="shared" si="6"/>
        <v>1647.9</v>
      </c>
      <c r="U68" t="str">
        <f t="shared" si="7"/>
        <v>No</v>
      </c>
      <c r="V68">
        <f t="shared" si="8"/>
        <v>0</v>
      </c>
      <c r="W68" t="str">
        <f t="shared" si="9"/>
        <v>No</v>
      </c>
    </row>
    <row r="69" spans="1:23" x14ac:dyDescent="0.3">
      <c r="A69" s="5" t="s">
        <v>223</v>
      </c>
      <c r="B69" s="5" t="s">
        <v>224</v>
      </c>
      <c r="C69" s="5" t="s">
        <v>43</v>
      </c>
      <c r="D69" s="5" t="s">
        <v>82</v>
      </c>
      <c r="E69" s="16">
        <v>45383</v>
      </c>
      <c r="F69" s="16">
        <v>45444</v>
      </c>
      <c r="G69" s="16">
        <v>45444</v>
      </c>
      <c r="H69" s="5" t="s">
        <v>55</v>
      </c>
      <c r="I69" s="5" t="s">
        <v>42</v>
      </c>
      <c r="J69" s="5" t="s">
        <v>90</v>
      </c>
      <c r="K69" s="5" t="s">
        <v>114</v>
      </c>
      <c r="L69" s="5" t="s">
        <v>226</v>
      </c>
      <c r="M69" s="5" t="s">
        <v>77</v>
      </c>
      <c r="N69" s="5" t="s">
        <v>33</v>
      </c>
      <c r="O69" s="5">
        <v>27</v>
      </c>
      <c r="P69" s="7">
        <v>2437</v>
      </c>
      <c r="Q69" s="7">
        <v>0</v>
      </c>
      <c r="R69" s="17">
        <v>0.02</v>
      </c>
      <c r="S69">
        <f t="shared" si="5"/>
        <v>61</v>
      </c>
      <c r="T69">
        <f t="shared" si="6"/>
        <v>48.74</v>
      </c>
      <c r="U69" t="str">
        <f t="shared" si="7"/>
        <v>No</v>
      </c>
      <c r="V69">
        <f t="shared" si="8"/>
        <v>0</v>
      </c>
      <c r="W69" t="str">
        <f t="shared" si="9"/>
        <v>No</v>
      </c>
    </row>
    <row r="70" spans="1:23" x14ac:dyDescent="0.3">
      <c r="A70" s="12" t="s">
        <v>223</v>
      </c>
      <c r="B70" s="12" t="s">
        <v>224</v>
      </c>
      <c r="C70" s="12" t="s">
        <v>43</v>
      </c>
      <c r="D70" s="12" t="s">
        <v>52</v>
      </c>
      <c r="E70" s="13">
        <v>45383</v>
      </c>
      <c r="F70" s="13">
        <v>45392</v>
      </c>
      <c r="G70" s="13">
        <v>45383</v>
      </c>
      <c r="H70" s="12" t="s">
        <v>44</v>
      </c>
      <c r="I70" s="12" t="s">
        <v>42</v>
      </c>
      <c r="J70" s="12" t="s">
        <v>92</v>
      </c>
      <c r="K70" s="12" t="s">
        <v>116</v>
      </c>
      <c r="L70" s="12" t="s">
        <v>227</v>
      </c>
      <c r="M70" s="12" t="s">
        <v>73</v>
      </c>
      <c r="N70" s="12" t="s">
        <v>33</v>
      </c>
      <c r="O70" s="12">
        <v>19</v>
      </c>
      <c r="P70" s="14">
        <v>7519</v>
      </c>
      <c r="Q70" s="14">
        <v>0</v>
      </c>
      <c r="R70" s="15">
        <v>0.45</v>
      </c>
      <c r="S70">
        <f t="shared" si="5"/>
        <v>9</v>
      </c>
      <c r="T70">
        <f t="shared" si="6"/>
        <v>3383.55</v>
      </c>
      <c r="U70" t="str">
        <f t="shared" si="7"/>
        <v>No</v>
      </c>
      <c r="V70">
        <f t="shared" si="8"/>
        <v>0</v>
      </c>
      <c r="W70" t="str">
        <f t="shared" si="9"/>
        <v>No</v>
      </c>
    </row>
    <row r="71" spans="1:23" x14ac:dyDescent="0.3">
      <c r="A71" s="5" t="s">
        <v>228</v>
      </c>
      <c r="B71" s="5" t="s">
        <v>229</v>
      </c>
      <c r="C71" s="5" t="s">
        <v>59</v>
      </c>
      <c r="D71" s="5" t="s">
        <v>52</v>
      </c>
      <c r="E71" s="16">
        <v>45520</v>
      </c>
      <c r="F71" s="16">
        <v>45533</v>
      </c>
      <c r="G71" s="16">
        <v>45505</v>
      </c>
      <c r="H71" s="5" t="s">
        <v>65</v>
      </c>
      <c r="I71" s="5" t="s">
        <v>30</v>
      </c>
      <c r="J71" s="5" t="s">
        <v>90</v>
      </c>
      <c r="K71" s="5" t="s">
        <v>112</v>
      </c>
      <c r="L71" s="5" t="s">
        <v>230</v>
      </c>
      <c r="M71" s="5" t="s">
        <v>73</v>
      </c>
      <c r="N71" s="5" t="s">
        <v>33</v>
      </c>
      <c r="O71" s="5">
        <v>1</v>
      </c>
      <c r="P71" s="7">
        <v>5955</v>
      </c>
      <c r="Q71" s="7">
        <v>0</v>
      </c>
      <c r="R71" s="17">
        <v>0.05</v>
      </c>
      <c r="S71">
        <f t="shared" si="5"/>
        <v>13</v>
      </c>
      <c r="T71">
        <f t="shared" si="6"/>
        <v>297.75</v>
      </c>
      <c r="U71" t="str">
        <f t="shared" si="7"/>
        <v>No</v>
      </c>
      <c r="V71">
        <f t="shared" si="8"/>
        <v>0</v>
      </c>
      <c r="W71" t="str">
        <f t="shared" si="9"/>
        <v>No</v>
      </c>
    </row>
    <row r="72" spans="1:23" x14ac:dyDescent="0.3">
      <c r="A72" s="12" t="s">
        <v>228</v>
      </c>
      <c r="B72" s="12" t="s">
        <v>229</v>
      </c>
      <c r="C72" s="12" t="s">
        <v>59</v>
      </c>
      <c r="D72" s="12" t="s">
        <v>87</v>
      </c>
      <c r="E72" s="13">
        <v>45520</v>
      </c>
      <c r="F72" s="13">
        <v>45539</v>
      </c>
      <c r="G72" s="13">
        <v>45536</v>
      </c>
      <c r="H72" s="12" t="s">
        <v>69</v>
      </c>
      <c r="I72" s="12" t="s">
        <v>30</v>
      </c>
      <c r="J72" s="12" t="s">
        <v>92</v>
      </c>
      <c r="K72" s="12" t="s">
        <v>114</v>
      </c>
      <c r="L72" s="12" t="s">
        <v>231</v>
      </c>
      <c r="M72" s="12" t="s">
        <v>77</v>
      </c>
      <c r="N72" s="12" t="s">
        <v>56</v>
      </c>
      <c r="O72" s="12">
        <v>1</v>
      </c>
      <c r="P72" s="14">
        <v>1799</v>
      </c>
      <c r="Q72" s="14">
        <v>0</v>
      </c>
      <c r="R72" s="15">
        <v>0.75</v>
      </c>
      <c r="S72">
        <f t="shared" si="5"/>
        <v>19</v>
      </c>
      <c r="T72">
        <f t="shared" si="6"/>
        <v>1349.25</v>
      </c>
      <c r="U72" t="str">
        <f t="shared" si="7"/>
        <v>No</v>
      </c>
      <c r="V72">
        <f t="shared" si="8"/>
        <v>0</v>
      </c>
      <c r="W72" t="str">
        <f t="shared" si="9"/>
        <v>No</v>
      </c>
    </row>
    <row r="73" spans="1:23" x14ac:dyDescent="0.3">
      <c r="A73" s="5" t="s">
        <v>228</v>
      </c>
      <c r="B73" s="5" t="s">
        <v>229</v>
      </c>
      <c r="C73" s="5" t="s">
        <v>59</v>
      </c>
      <c r="D73" s="5" t="s">
        <v>40</v>
      </c>
      <c r="E73" s="16">
        <v>45520</v>
      </c>
      <c r="F73" s="16">
        <v>45536</v>
      </c>
      <c r="G73" s="16">
        <v>45536</v>
      </c>
      <c r="H73" s="5" t="s">
        <v>69</v>
      </c>
      <c r="I73" s="5" t="s">
        <v>30</v>
      </c>
      <c r="J73" s="5" t="s">
        <v>90</v>
      </c>
      <c r="K73" s="5" t="s">
        <v>116</v>
      </c>
      <c r="L73" s="5" t="s">
        <v>232</v>
      </c>
      <c r="M73" s="5" t="s">
        <v>30</v>
      </c>
      <c r="N73" s="5" t="s">
        <v>45</v>
      </c>
      <c r="O73" s="5">
        <v>24</v>
      </c>
      <c r="P73" s="7">
        <v>8925</v>
      </c>
      <c r="Q73" s="7">
        <v>8659</v>
      </c>
      <c r="R73" s="17">
        <v>1</v>
      </c>
      <c r="S73">
        <f t="shared" si="5"/>
        <v>16</v>
      </c>
      <c r="T73">
        <f t="shared" si="6"/>
        <v>8925</v>
      </c>
      <c r="U73" t="str">
        <f t="shared" si="7"/>
        <v>No</v>
      </c>
      <c r="V73">
        <f t="shared" si="8"/>
        <v>0</v>
      </c>
      <c r="W73" t="str">
        <f t="shared" si="9"/>
        <v>Yes</v>
      </c>
    </row>
    <row r="74" spans="1:23" x14ac:dyDescent="0.3">
      <c r="A74" s="12" t="s">
        <v>233</v>
      </c>
      <c r="B74" s="12" t="s">
        <v>234</v>
      </c>
      <c r="C74" s="12" t="s">
        <v>59</v>
      </c>
      <c r="D74" s="12" t="s">
        <v>84</v>
      </c>
      <c r="E74" s="13">
        <v>45417</v>
      </c>
      <c r="F74" s="13">
        <v>45493</v>
      </c>
      <c r="G74" s="13">
        <v>45474</v>
      </c>
      <c r="H74" s="12" t="s">
        <v>60</v>
      </c>
      <c r="I74" s="12" t="s">
        <v>48</v>
      </c>
      <c r="J74" s="12" t="s">
        <v>88</v>
      </c>
      <c r="K74" s="12" t="s">
        <v>112</v>
      </c>
      <c r="L74" s="12" t="s">
        <v>235</v>
      </c>
      <c r="M74" s="12" t="s">
        <v>30</v>
      </c>
      <c r="N74" s="12" t="s">
        <v>39</v>
      </c>
      <c r="O74" s="12">
        <v>37</v>
      </c>
      <c r="P74" s="14">
        <v>8938</v>
      </c>
      <c r="Q74" s="14">
        <v>8487</v>
      </c>
      <c r="R74" s="15">
        <v>1</v>
      </c>
      <c r="S74">
        <f t="shared" si="5"/>
        <v>76</v>
      </c>
      <c r="T74">
        <f t="shared" si="6"/>
        <v>8938</v>
      </c>
      <c r="U74" t="str">
        <f t="shared" si="7"/>
        <v>No</v>
      </c>
      <c r="V74">
        <f t="shared" si="8"/>
        <v>0</v>
      </c>
      <c r="W74" t="str">
        <f t="shared" si="9"/>
        <v>Yes</v>
      </c>
    </row>
    <row r="75" spans="1:23" x14ac:dyDescent="0.3">
      <c r="A75" s="5" t="s">
        <v>233</v>
      </c>
      <c r="B75" s="5" t="s">
        <v>234</v>
      </c>
      <c r="C75" s="5" t="s">
        <v>59</v>
      </c>
      <c r="D75" s="5" t="s">
        <v>75</v>
      </c>
      <c r="E75" s="16">
        <v>45417</v>
      </c>
      <c r="F75" s="16">
        <v>45490</v>
      </c>
      <c r="G75" s="16">
        <v>45474</v>
      </c>
      <c r="H75" s="5" t="s">
        <v>60</v>
      </c>
      <c r="I75" s="5" t="s">
        <v>48</v>
      </c>
      <c r="J75" s="5" t="s">
        <v>92</v>
      </c>
      <c r="K75" s="5" t="s">
        <v>114</v>
      </c>
      <c r="L75" s="5" t="s">
        <v>236</v>
      </c>
      <c r="M75" s="5" t="s">
        <v>73</v>
      </c>
      <c r="N75" s="5" t="s">
        <v>66</v>
      </c>
      <c r="O75" s="5">
        <v>10</v>
      </c>
      <c r="P75" s="7">
        <v>8533</v>
      </c>
      <c r="Q75" s="7">
        <v>0</v>
      </c>
      <c r="R75" s="17">
        <v>0.72</v>
      </c>
      <c r="S75">
        <f t="shared" si="5"/>
        <v>73</v>
      </c>
      <c r="T75">
        <f t="shared" si="6"/>
        <v>6143.76</v>
      </c>
      <c r="U75" t="str">
        <f t="shared" si="7"/>
        <v>No</v>
      </c>
      <c r="V75">
        <f t="shared" si="8"/>
        <v>0</v>
      </c>
      <c r="W75" t="str">
        <f t="shared" si="9"/>
        <v>No</v>
      </c>
    </row>
    <row r="76" spans="1:23" x14ac:dyDescent="0.3">
      <c r="A76" s="12" t="s">
        <v>233</v>
      </c>
      <c r="B76" s="12" t="s">
        <v>234</v>
      </c>
      <c r="C76" s="12" t="s">
        <v>59</v>
      </c>
      <c r="D76" s="12" t="s">
        <v>71</v>
      </c>
      <c r="E76" s="13">
        <v>45417</v>
      </c>
      <c r="F76" s="13">
        <v>45476</v>
      </c>
      <c r="G76" s="13">
        <v>45474</v>
      </c>
      <c r="H76" s="12" t="s">
        <v>60</v>
      </c>
      <c r="I76" s="12" t="s">
        <v>48</v>
      </c>
      <c r="J76" s="12" t="s">
        <v>90</v>
      </c>
      <c r="K76" s="12" t="s">
        <v>116</v>
      </c>
      <c r="L76" s="12" t="s">
        <v>237</v>
      </c>
      <c r="M76" s="12" t="s">
        <v>73</v>
      </c>
      <c r="N76" s="12" t="s">
        <v>33</v>
      </c>
      <c r="O76" s="12">
        <v>16</v>
      </c>
      <c r="P76" s="14">
        <v>8402</v>
      </c>
      <c r="Q76" s="14">
        <v>0</v>
      </c>
      <c r="R76" s="15">
        <v>0.5</v>
      </c>
      <c r="S76">
        <f t="shared" si="5"/>
        <v>59</v>
      </c>
      <c r="T76">
        <f t="shared" si="6"/>
        <v>4201</v>
      </c>
      <c r="U76" t="str">
        <f t="shared" si="7"/>
        <v>No</v>
      </c>
      <c r="V76">
        <f t="shared" si="8"/>
        <v>0</v>
      </c>
      <c r="W76" t="str">
        <f t="shared" si="9"/>
        <v>No</v>
      </c>
    </row>
    <row r="77" spans="1:23" x14ac:dyDescent="0.3">
      <c r="A77" s="5" t="s">
        <v>238</v>
      </c>
      <c r="B77" s="5" t="s">
        <v>239</v>
      </c>
      <c r="C77" s="5" t="s">
        <v>31</v>
      </c>
      <c r="D77" s="5" t="s">
        <v>46</v>
      </c>
      <c r="E77" s="16">
        <v>45511</v>
      </c>
      <c r="F77" s="16">
        <v>45777</v>
      </c>
      <c r="G77" s="16">
        <v>45748</v>
      </c>
      <c r="H77" s="5" t="s">
        <v>91</v>
      </c>
      <c r="I77" s="5" t="s">
        <v>48</v>
      </c>
      <c r="J77" s="5" t="s">
        <v>92</v>
      </c>
      <c r="K77" s="5" t="s">
        <v>112</v>
      </c>
      <c r="L77" s="5" t="s">
        <v>240</v>
      </c>
      <c r="M77" s="5" t="s">
        <v>73</v>
      </c>
      <c r="N77" s="5" t="s">
        <v>45</v>
      </c>
      <c r="O77" s="5">
        <v>21</v>
      </c>
      <c r="P77" s="7">
        <v>6524</v>
      </c>
      <c r="Q77" s="7">
        <v>0</v>
      </c>
      <c r="R77" s="17">
        <v>0.1</v>
      </c>
      <c r="S77">
        <f t="shared" si="5"/>
        <v>266</v>
      </c>
      <c r="T77">
        <f t="shared" si="6"/>
        <v>652.40000000000009</v>
      </c>
      <c r="U77" t="str">
        <f t="shared" si="7"/>
        <v>No</v>
      </c>
      <c r="V77">
        <f t="shared" si="8"/>
        <v>0</v>
      </c>
      <c r="W77" t="str">
        <f t="shared" si="9"/>
        <v>No</v>
      </c>
    </row>
    <row r="78" spans="1:23" x14ac:dyDescent="0.3">
      <c r="A78" s="12" t="s">
        <v>238</v>
      </c>
      <c r="B78" s="12" t="s">
        <v>239</v>
      </c>
      <c r="C78" s="12" t="s">
        <v>31</v>
      </c>
      <c r="D78" s="12" t="s">
        <v>52</v>
      </c>
      <c r="E78" s="13">
        <v>45511</v>
      </c>
      <c r="F78" s="13">
        <v>45514</v>
      </c>
      <c r="G78" s="13">
        <v>45505</v>
      </c>
      <c r="H78" s="12" t="s">
        <v>65</v>
      </c>
      <c r="I78" s="12" t="s">
        <v>48</v>
      </c>
      <c r="J78" s="12" t="s">
        <v>90</v>
      </c>
      <c r="K78" s="12" t="s">
        <v>114</v>
      </c>
      <c r="L78" s="12" t="s">
        <v>241</v>
      </c>
      <c r="M78" s="12" t="s">
        <v>30</v>
      </c>
      <c r="N78" s="12" t="s">
        <v>45</v>
      </c>
      <c r="O78" s="12">
        <v>34</v>
      </c>
      <c r="P78" s="14">
        <v>8061</v>
      </c>
      <c r="Q78" s="14">
        <v>8002</v>
      </c>
      <c r="R78" s="15">
        <v>1</v>
      </c>
      <c r="S78">
        <f t="shared" si="5"/>
        <v>3</v>
      </c>
      <c r="T78">
        <f t="shared" si="6"/>
        <v>8061</v>
      </c>
      <c r="U78" t="str">
        <f t="shared" si="7"/>
        <v>No</v>
      </c>
      <c r="V78">
        <f t="shared" si="8"/>
        <v>0</v>
      </c>
      <c r="W78" t="str">
        <f t="shared" si="9"/>
        <v>Yes</v>
      </c>
    </row>
    <row r="79" spans="1:23" x14ac:dyDescent="0.3">
      <c r="A79" s="5" t="s">
        <v>238</v>
      </c>
      <c r="B79" s="5" t="s">
        <v>239</v>
      </c>
      <c r="C79" s="5" t="s">
        <v>31</v>
      </c>
      <c r="D79" s="5" t="s">
        <v>67</v>
      </c>
      <c r="E79" s="16">
        <v>45511</v>
      </c>
      <c r="F79" s="16">
        <v>45753</v>
      </c>
      <c r="G79" s="16">
        <v>45748</v>
      </c>
      <c r="H79" s="5" t="s">
        <v>91</v>
      </c>
      <c r="I79" s="5" t="s">
        <v>48</v>
      </c>
      <c r="J79" s="5" t="s">
        <v>88</v>
      </c>
      <c r="K79" s="5" t="s">
        <v>116</v>
      </c>
      <c r="L79" s="5" t="s">
        <v>242</v>
      </c>
      <c r="M79" s="5" t="s">
        <v>77</v>
      </c>
      <c r="N79" s="5" t="s">
        <v>39</v>
      </c>
      <c r="O79" s="5">
        <v>3</v>
      </c>
      <c r="P79" s="7">
        <v>2436</v>
      </c>
      <c r="Q79" s="7">
        <v>0</v>
      </c>
      <c r="R79" s="17">
        <v>0.82</v>
      </c>
      <c r="S79">
        <f t="shared" si="5"/>
        <v>242</v>
      </c>
      <c r="T79">
        <f t="shared" si="6"/>
        <v>1997.52</v>
      </c>
      <c r="U79" t="str">
        <f t="shared" si="7"/>
        <v>No</v>
      </c>
      <c r="V79">
        <f t="shared" si="8"/>
        <v>0</v>
      </c>
      <c r="W79" t="str">
        <f t="shared" si="9"/>
        <v>No</v>
      </c>
    </row>
    <row r="80" spans="1:23" x14ac:dyDescent="0.3">
      <c r="A80" s="12" t="s">
        <v>243</v>
      </c>
      <c r="B80" s="12" t="s">
        <v>244</v>
      </c>
      <c r="C80" s="12" t="s">
        <v>43</v>
      </c>
      <c r="D80" s="12" t="s">
        <v>40</v>
      </c>
      <c r="E80" s="13">
        <v>45352</v>
      </c>
      <c r="F80" s="13">
        <v>45654</v>
      </c>
      <c r="G80" s="13">
        <v>45627</v>
      </c>
      <c r="H80" s="12" t="s">
        <v>81</v>
      </c>
      <c r="I80" s="12" t="s">
        <v>30</v>
      </c>
      <c r="J80" s="12" t="s">
        <v>88</v>
      </c>
      <c r="K80" s="12" t="s">
        <v>112</v>
      </c>
      <c r="L80" s="12" t="s">
        <v>245</v>
      </c>
      <c r="M80" s="12" t="s">
        <v>73</v>
      </c>
      <c r="N80" s="12" t="s">
        <v>70</v>
      </c>
      <c r="O80" s="12">
        <v>35</v>
      </c>
      <c r="P80" s="14">
        <v>9670</v>
      </c>
      <c r="Q80" s="14">
        <v>0</v>
      </c>
      <c r="R80" s="15">
        <v>0.84</v>
      </c>
      <c r="S80">
        <f t="shared" si="5"/>
        <v>302</v>
      </c>
      <c r="T80">
        <f t="shared" si="6"/>
        <v>8122.7999999999993</v>
      </c>
      <c r="U80" t="str">
        <f t="shared" si="7"/>
        <v>No</v>
      </c>
      <c r="V80">
        <f t="shared" si="8"/>
        <v>0</v>
      </c>
      <c r="W80" t="str">
        <f t="shared" si="9"/>
        <v>No</v>
      </c>
    </row>
    <row r="81" spans="1:23" x14ac:dyDescent="0.3">
      <c r="A81" s="5" t="s">
        <v>243</v>
      </c>
      <c r="B81" s="5" t="s">
        <v>244</v>
      </c>
      <c r="C81" s="5" t="s">
        <v>43</v>
      </c>
      <c r="D81" s="5" t="s">
        <v>84</v>
      </c>
      <c r="E81" s="16">
        <v>45352</v>
      </c>
      <c r="F81" s="16">
        <v>45738</v>
      </c>
      <c r="G81" s="16">
        <v>45717</v>
      </c>
      <c r="H81" s="5" t="s">
        <v>89</v>
      </c>
      <c r="I81" s="5" t="s">
        <v>30</v>
      </c>
      <c r="J81" s="5" t="s">
        <v>92</v>
      </c>
      <c r="K81" s="5" t="s">
        <v>114</v>
      </c>
      <c r="L81" s="5" t="s">
        <v>246</v>
      </c>
      <c r="M81" s="5" t="s">
        <v>73</v>
      </c>
      <c r="N81" s="5" t="s">
        <v>61</v>
      </c>
      <c r="O81" s="5">
        <v>7</v>
      </c>
      <c r="P81" s="7">
        <v>1646</v>
      </c>
      <c r="Q81" s="7">
        <v>4190</v>
      </c>
      <c r="R81" s="17">
        <v>1</v>
      </c>
      <c r="S81">
        <f t="shared" si="5"/>
        <v>386</v>
      </c>
      <c r="T81">
        <f t="shared" si="6"/>
        <v>1646</v>
      </c>
      <c r="U81" t="str">
        <f t="shared" si="7"/>
        <v>Yes</v>
      </c>
      <c r="V81">
        <f t="shared" si="8"/>
        <v>2544</v>
      </c>
      <c r="W81" t="str">
        <f t="shared" si="9"/>
        <v>Yes</v>
      </c>
    </row>
    <row r="82" spans="1:23" x14ac:dyDescent="0.3">
      <c r="A82" s="12" t="s">
        <v>243</v>
      </c>
      <c r="B82" s="12" t="s">
        <v>244</v>
      </c>
      <c r="C82" s="12" t="s">
        <v>43</v>
      </c>
      <c r="D82" s="12" t="s">
        <v>62</v>
      </c>
      <c r="E82" s="13">
        <v>45352</v>
      </c>
      <c r="F82" s="13">
        <v>45676</v>
      </c>
      <c r="G82" s="13">
        <v>45658</v>
      </c>
      <c r="H82" s="12" t="s">
        <v>83</v>
      </c>
      <c r="I82" s="12" t="s">
        <v>30</v>
      </c>
      <c r="J82" s="12" t="s">
        <v>90</v>
      </c>
      <c r="K82" s="12" t="s">
        <v>116</v>
      </c>
      <c r="L82" s="12" t="s">
        <v>247</v>
      </c>
      <c r="M82" s="12" t="s">
        <v>73</v>
      </c>
      <c r="N82" s="12" t="s">
        <v>39</v>
      </c>
      <c r="O82" s="12">
        <v>30</v>
      </c>
      <c r="P82" s="14">
        <v>3853</v>
      </c>
      <c r="Q82" s="14">
        <v>0</v>
      </c>
      <c r="R82" s="15">
        <v>0.19</v>
      </c>
      <c r="S82">
        <f t="shared" si="5"/>
        <v>324</v>
      </c>
      <c r="T82">
        <f t="shared" si="6"/>
        <v>732.07</v>
      </c>
      <c r="U82" t="str">
        <f t="shared" si="7"/>
        <v>No</v>
      </c>
      <c r="V82">
        <f t="shared" si="8"/>
        <v>0</v>
      </c>
      <c r="W82" t="str">
        <f t="shared" si="9"/>
        <v>No</v>
      </c>
    </row>
    <row r="83" spans="1:23" x14ac:dyDescent="0.3">
      <c r="A83" s="5" t="s">
        <v>248</v>
      </c>
      <c r="B83" s="5" t="s">
        <v>249</v>
      </c>
      <c r="C83" s="5" t="s">
        <v>59</v>
      </c>
      <c r="D83" s="5" t="s">
        <v>79</v>
      </c>
      <c r="E83" s="16">
        <v>45498</v>
      </c>
      <c r="F83" s="16">
        <v>45676</v>
      </c>
      <c r="G83" s="16">
        <v>45658</v>
      </c>
      <c r="H83" s="5" t="s">
        <v>83</v>
      </c>
      <c r="I83" s="5" t="s">
        <v>42</v>
      </c>
      <c r="J83" s="5" t="s">
        <v>90</v>
      </c>
      <c r="K83" s="5" t="s">
        <v>112</v>
      </c>
      <c r="L83" s="5" t="s">
        <v>250</v>
      </c>
      <c r="M83" s="5" t="s">
        <v>77</v>
      </c>
      <c r="N83" s="5" t="s">
        <v>39</v>
      </c>
      <c r="O83" s="5">
        <v>22</v>
      </c>
      <c r="P83" s="7">
        <v>5266</v>
      </c>
      <c r="Q83" s="7">
        <v>0</v>
      </c>
      <c r="R83" s="17">
        <v>0.31</v>
      </c>
      <c r="S83">
        <f t="shared" si="5"/>
        <v>178</v>
      </c>
      <c r="T83">
        <f t="shared" si="6"/>
        <v>1632.46</v>
      </c>
      <c r="U83" t="str">
        <f t="shared" si="7"/>
        <v>No</v>
      </c>
      <c r="V83">
        <f t="shared" si="8"/>
        <v>0</v>
      </c>
      <c r="W83" t="str">
        <f t="shared" si="9"/>
        <v>No</v>
      </c>
    </row>
    <row r="84" spans="1:23" x14ac:dyDescent="0.3">
      <c r="A84" s="12" t="s">
        <v>248</v>
      </c>
      <c r="B84" s="12" t="s">
        <v>249</v>
      </c>
      <c r="C84" s="12" t="s">
        <v>59</v>
      </c>
      <c r="D84" s="12" t="s">
        <v>79</v>
      </c>
      <c r="E84" s="13">
        <v>45498</v>
      </c>
      <c r="F84" s="13">
        <v>45805</v>
      </c>
      <c r="G84" s="13">
        <v>45778</v>
      </c>
      <c r="H84" s="12" t="s">
        <v>93</v>
      </c>
      <c r="I84" s="12" t="s">
        <v>42</v>
      </c>
      <c r="J84" s="12" t="s">
        <v>90</v>
      </c>
      <c r="K84" s="12" t="s">
        <v>114</v>
      </c>
      <c r="L84" s="12" t="s">
        <v>251</v>
      </c>
      <c r="M84" s="12" t="s">
        <v>77</v>
      </c>
      <c r="N84" s="12" t="s">
        <v>61</v>
      </c>
      <c r="O84" s="12">
        <v>16</v>
      </c>
      <c r="P84" s="14">
        <v>4878</v>
      </c>
      <c r="Q84" s="14">
        <v>0</v>
      </c>
      <c r="R84" s="15">
        <v>0.78</v>
      </c>
      <c r="S84">
        <f t="shared" si="5"/>
        <v>307</v>
      </c>
      <c r="T84">
        <f t="shared" si="6"/>
        <v>3804.84</v>
      </c>
      <c r="U84" t="str">
        <f t="shared" si="7"/>
        <v>No</v>
      </c>
      <c r="V84">
        <f t="shared" si="8"/>
        <v>0</v>
      </c>
      <c r="W84" t="str">
        <f t="shared" si="9"/>
        <v>No</v>
      </c>
    </row>
    <row r="85" spans="1:23" x14ac:dyDescent="0.3">
      <c r="A85" s="5" t="s">
        <v>248</v>
      </c>
      <c r="B85" s="5" t="s">
        <v>249</v>
      </c>
      <c r="C85" s="5" t="s">
        <v>59</v>
      </c>
      <c r="D85" s="5" t="s">
        <v>71</v>
      </c>
      <c r="E85" s="16">
        <v>45498</v>
      </c>
      <c r="F85" s="16">
        <v>45673</v>
      </c>
      <c r="G85" s="16">
        <v>45658</v>
      </c>
      <c r="H85" s="5" t="s">
        <v>83</v>
      </c>
      <c r="I85" s="5" t="s">
        <v>42</v>
      </c>
      <c r="J85" s="5" t="s">
        <v>92</v>
      </c>
      <c r="K85" s="5" t="s">
        <v>116</v>
      </c>
      <c r="L85" s="5" t="s">
        <v>252</v>
      </c>
      <c r="M85" s="5" t="s">
        <v>77</v>
      </c>
      <c r="N85" s="5" t="s">
        <v>66</v>
      </c>
      <c r="O85" s="5">
        <v>23</v>
      </c>
      <c r="P85" s="7">
        <v>4589</v>
      </c>
      <c r="Q85" s="7">
        <v>0</v>
      </c>
      <c r="R85" s="17">
        <v>0.98</v>
      </c>
      <c r="S85">
        <f t="shared" si="5"/>
        <v>175</v>
      </c>
      <c r="T85">
        <f t="shared" si="6"/>
        <v>4497.22</v>
      </c>
      <c r="U85" t="str">
        <f t="shared" si="7"/>
        <v>No</v>
      </c>
      <c r="V85">
        <f t="shared" si="8"/>
        <v>0</v>
      </c>
      <c r="W85" t="str">
        <f t="shared" si="9"/>
        <v>No</v>
      </c>
    </row>
    <row r="86" spans="1:23" x14ac:dyDescent="0.3">
      <c r="A86" s="12" t="s">
        <v>253</v>
      </c>
      <c r="B86" s="12" t="s">
        <v>254</v>
      </c>
      <c r="C86" s="12" t="s">
        <v>31</v>
      </c>
      <c r="D86" s="12" t="s">
        <v>82</v>
      </c>
      <c r="E86" s="13">
        <v>45569</v>
      </c>
      <c r="F86" s="13">
        <v>45425</v>
      </c>
      <c r="G86" s="13">
        <v>45413</v>
      </c>
      <c r="H86" s="12" t="s">
        <v>50</v>
      </c>
      <c r="I86" s="12" t="s">
        <v>36</v>
      </c>
      <c r="J86" s="12" t="s">
        <v>92</v>
      </c>
      <c r="K86" s="12" t="s">
        <v>112</v>
      </c>
      <c r="L86" s="12" t="s">
        <v>255</v>
      </c>
      <c r="M86" s="12" t="s">
        <v>30</v>
      </c>
      <c r="N86" s="12" t="s">
        <v>51</v>
      </c>
      <c r="O86" s="12">
        <v>33</v>
      </c>
      <c r="P86" s="14">
        <v>3498</v>
      </c>
      <c r="Q86" s="14">
        <v>3235</v>
      </c>
      <c r="R86" s="15">
        <v>1</v>
      </c>
      <c r="S86">
        <f t="shared" si="5"/>
        <v>-144</v>
      </c>
      <c r="T86">
        <f t="shared" si="6"/>
        <v>3498</v>
      </c>
      <c r="U86" t="str">
        <f t="shared" si="7"/>
        <v>No</v>
      </c>
      <c r="V86">
        <f t="shared" si="8"/>
        <v>0</v>
      </c>
      <c r="W86" t="str">
        <f t="shared" si="9"/>
        <v>Yes</v>
      </c>
    </row>
    <row r="87" spans="1:23" x14ac:dyDescent="0.3">
      <c r="A87" s="5" t="s">
        <v>253</v>
      </c>
      <c r="B87" s="5" t="s">
        <v>254</v>
      </c>
      <c r="C87" s="5" t="s">
        <v>31</v>
      </c>
      <c r="D87" s="5" t="s">
        <v>40</v>
      </c>
      <c r="E87" s="16">
        <v>45569</v>
      </c>
      <c r="F87" s="16">
        <v>45647</v>
      </c>
      <c r="G87" s="16">
        <v>45627</v>
      </c>
      <c r="H87" s="5" t="s">
        <v>81</v>
      </c>
      <c r="I87" s="5" t="s">
        <v>36</v>
      </c>
      <c r="J87" s="5" t="s">
        <v>88</v>
      </c>
      <c r="K87" s="5" t="s">
        <v>114</v>
      </c>
      <c r="L87" s="5" t="s">
        <v>256</v>
      </c>
      <c r="M87" s="5" t="s">
        <v>77</v>
      </c>
      <c r="N87" s="5" t="s">
        <v>33</v>
      </c>
      <c r="O87" s="5">
        <v>30</v>
      </c>
      <c r="P87" s="7">
        <v>7342</v>
      </c>
      <c r="Q87" s="7">
        <v>0</v>
      </c>
      <c r="R87" s="17">
        <v>0.15</v>
      </c>
      <c r="S87">
        <f t="shared" si="5"/>
        <v>78</v>
      </c>
      <c r="T87">
        <f t="shared" si="6"/>
        <v>1101.3</v>
      </c>
      <c r="U87" t="str">
        <f t="shared" si="7"/>
        <v>No</v>
      </c>
      <c r="V87">
        <f t="shared" si="8"/>
        <v>0</v>
      </c>
      <c r="W87" t="str">
        <f t="shared" si="9"/>
        <v>No</v>
      </c>
    </row>
    <row r="88" spans="1:23" x14ac:dyDescent="0.3">
      <c r="A88" s="12" t="s">
        <v>253</v>
      </c>
      <c r="B88" s="12" t="s">
        <v>254</v>
      </c>
      <c r="C88" s="12" t="s">
        <v>31</v>
      </c>
      <c r="D88" s="12" t="s">
        <v>34</v>
      </c>
      <c r="E88" s="13">
        <v>45569</v>
      </c>
      <c r="F88" s="13">
        <v>45680</v>
      </c>
      <c r="G88" s="13">
        <v>45658</v>
      </c>
      <c r="H88" s="12" t="s">
        <v>83</v>
      </c>
      <c r="I88" s="12" t="s">
        <v>36</v>
      </c>
      <c r="J88" s="12" t="s">
        <v>88</v>
      </c>
      <c r="K88" s="12" t="s">
        <v>116</v>
      </c>
      <c r="L88" s="12" t="s">
        <v>257</v>
      </c>
      <c r="M88" s="12" t="s">
        <v>77</v>
      </c>
      <c r="N88" s="12" t="s">
        <v>33</v>
      </c>
      <c r="O88" s="12">
        <v>22</v>
      </c>
      <c r="P88" s="14">
        <v>3172</v>
      </c>
      <c r="Q88" s="14">
        <v>0</v>
      </c>
      <c r="R88" s="15">
        <v>0.4</v>
      </c>
      <c r="S88">
        <f t="shared" si="5"/>
        <v>111</v>
      </c>
      <c r="T88">
        <f t="shared" si="6"/>
        <v>1268.8000000000002</v>
      </c>
      <c r="U88" t="str">
        <f t="shared" si="7"/>
        <v>No</v>
      </c>
      <c r="V88">
        <f t="shared" si="8"/>
        <v>0</v>
      </c>
      <c r="W88" t="str">
        <f t="shared" si="9"/>
        <v>No</v>
      </c>
    </row>
    <row r="89" spans="1:23" x14ac:dyDescent="0.3">
      <c r="A89" s="5" t="s">
        <v>258</v>
      </c>
      <c r="B89" s="5" t="s">
        <v>259</v>
      </c>
      <c r="C89" s="5" t="s">
        <v>59</v>
      </c>
      <c r="D89" s="5" t="s">
        <v>84</v>
      </c>
      <c r="E89" s="16">
        <v>45489</v>
      </c>
      <c r="F89" s="16">
        <v>45502</v>
      </c>
      <c r="G89" s="16">
        <v>45474</v>
      </c>
      <c r="H89" s="5" t="s">
        <v>60</v>
      </c>
      <c r="I89" s="5" t="s">
        <v>36</v>
      </c>
      <c r="J89" s="5" t="s">
        <v>88</v>
      </c>
      <c r="K89" s="5" t="s">
        <v>112</v>
      </c>
      <c r="L89" s="5" t="s">
        <v>260</v>
      </c>
      <c r="M89" s="5" t="s">
        <v>77</v>
      </c>
      <c r="N89" s="5" t="s">
        <v>56</v>
      </c>
      <c r="O89" s="5">
        <v>33</v>
      </c>
      <c r="P89" s="7">
        <v>8742</v>
      </c>
      <c r="Q89" s="7">
        <v>0</v>
      </c>
      <c r="R89" s="17">
        <v>0.79</v>
      </c>
      <c r="S89">
        <f t="shared" si="5"/>
        <v>13</v>
      </c>
      <c r="T89">
        <f t="shared" si="6"/>
        <v>6906.18</v>
      </c>
      <c r="U89" t="str">
        <f t="shared" si="7"/>
        <v>No</v>
      </c>
      <c r="V89">
        <f t="shared" si="8"/>
        <v>0</v>
      </c>
      <c r="W89" t="str">
        <f t="shared" si="9"/>
        <v>No</v>
      </c>
    </row>
    <row r="90" spans="1:23" x14ac:dyDescent="0.3">
      <c r="A90" s="12" t="s">
        <v>258</v>
      </c>
      <c r="B90" s="12" t="s">
        <v>259</v>
      </c>
      <c r="C90" s="12" t="s">
        <v>59</v>
      </c>
      <c r="D90" s="12" t="s">
        <v>46</v>
      </c>
      <c r="E90" s="13">
        <v>45489</v>
      </c>
      <c r="F90" s="13">
        <v>45502</v>
      </c>
      <c r="G90" s="13">
        <v>45474</v>
      </c>
      <c r="H90" s="12" t="s">
        <v>60</v>
      </c>
      <c r="I90" s="12" t="s">
        <v>36</v>
      </c>
      <c r="J90" s="12" t="s">
        <v>88</v>
      </c>
      <c r="K90" s="12" t="s">
        <v>114</v>
      </c>
      <c r="L90" s="12" t="s">
        <v>261</v>
      </c>
      <c r="M90" s="12" t="s">
        <v>77</v>
      </c>
      <c r="N90" s="12" t="s">
        <v>33</v>
      </c>
      <c r="O90" s="12">
        <v>1</v>
      </c>
      <c r="P90" s="14">
        <v>4274</v>
      </c>
      <c r="Q90" s="14">
        <v>0</v>
      </c>
      <c r="R90" s="15">
        <v>0.28000000000000003</v>
      </c>
      <c r="S90">
        <f t="shared" si="5"/>
        <v>13</v>
      </c>
      <c r="T90">
        <f t="shared" si="6"/>
        <v>1196.72</v>
      </c>
      <c r="U90" t="str">
        <f t="shared" si="7"/>
        <v>No</v>
      </c>
      <c r="V90">
        <f t="shared" si="8"/>
        <v>0</v>
      </c>
      <c r="W90" t="str">
        <f t="shared" si="9"/>
        <v>No</v>
      </c>
    </row>
    <row r="91" spans="1:23" x14ac:dyDescent="0.3">
      <c r="A91" s="5" t="s">
        <v>258</v>
      </c>
      <c r="B91" s="5" t="s">
        <v>259</v>
      </c>
      <c r="C91" s="5" t="s">
        <v>59</v>
      </c>
      <c r="D91" s="5" t="s">
        <v>71</v>
      </c>
      <c r="E91" s="16">
        <v>45489</v>
      </c>
      <c r="F91" s="16">
        <v>45502</v>
      </c>
      <c r="G91" s="16">
        <v>45474</v>
      </c>
      <c r="H91" s="5" t="s">
        <v>60</v>
      </c>
      <c r="I91" s="5" t="s">
        <v>36</v>
      </c>
      <c r="J91" s="5" t="s">
        <v>88</v>
      </c>
      <c r="K91" s="5" t="s">
        <v>116</v>
      </c>
      <c r="L91" s="5" t="s">
        <v>262</v>
      </c>
      <c r="M91" s="5" t="s">
        <v>73</v>
      </c>
      <c r="N91" s="5" t="s">
        <v>61</v>
      </c>
      <c r="O91" s="5">
        <v>16</v>
      </c>
      <c r="P91" s="7">
        <v>3338</v>
      </c>
      <c r="Q91" s="7">
        <v>0</v>
      </c>
      <c r="R91" s="17">
        <v>7.0000000000000007E-2</v>
      </c>
      <c r="S91">
        <f t="shared" si="5"/>
        <v>13</v>
      </c>
      <c r="T91">
        <f t="shared" si="6"/>
        <v>233.66000000000003</v>
      </c>
      <c r="U91" t="str">
        <f t="shared" si="7"/>
        <v>No</v>
      </c>
      <c r="V91">
        <f t="shared" si="8"/>
        <v>0</v>
      </c>
      <c r="W91" t="str">
        <f t="shared" si="9"/>
        <v>No</v>
      </c>
    </row>
    <row r="92" spans="1:23" x14ac:dyDescent="0.3">
      <c r="A92" s="12" t="s">
        <v>263</v>
      </c>
      <c r="B92" s="12" t="s">
        <v>264</v>
      </c>
      <c r="C92" s="12" t="s">
        <v>31</v>
      </c>
      <c r="D92" s="12" t="s">
        <v>52</v>
      </c>
      <c r="E92" s="13">
        <v>45370</v>
      </c>
      <c r="F92" s="13">
        <v>45452</v>
      </c>
      <c r="G92" s="13">
        <v>45444</v>
      </c>
      <c r="H92" s="12" t="s">
        <v>55</v>
      </c>
      <c r="I92" s="12" t="s">
        <v>36</v>
      </c>
      <c r="J92" s="12" t="s">
        <v>88</v>
      </c>
      <c r="K92" s="12" t="s">
        <v>112</v>
      </c>
      <c r="L92" s="12" t="s">
        <v>265</v>
      </c>
      <c r="M92" s="12" t="s">
        <v>73</v>
      </c>
      <c r="N92" s="12" t="s">
        <v>61</v>
      </c>
      <c r="O92" s="12">
        <v>2</v>
      </c>
      <c r="P92" s="14">
        <v>3147</v>
      </c>
      <c r="Q92" s="14">
        <v>0</v>
      </c>
      <c r="R92" s="15">
        <v>0.45</v>
      </c>
      <c r="S92">
        <f t="shared" si="5"/>
        <v>82</v>
      </c>
      <c r="T92">
        <f t="shared" si="6"/>
        <v>1416.15</v>
      </c>
      <c r="U92" t="str">
        <f t="shared" si="7"/>
        <v>No</v>
      </c>
      <c r="V92">
        <f t="shared" si="8"/>
        <v>0</v>
      </c>
      <c r="W92" t="str">
        <f t="shared" si="9"/>
        <v>No</v>
      </c>
    </row>
    <row r="93" spans="1:23" x14ac:dyDescent="0.3">
      <c r="A93" s="5" t="s">
        <v>263</v>
      </c>
      <c r="B93" s="5" t="s">
        <v>264</v>
      </c>
      <c r="C93" s="5" t="s">
        <v>31</v>
      </c>
      <c r="D93" s="5" t="s">
        <v>67</v>
      </c>
      <c r="E93" s="16">
        <v>45370</v>
      </c>
      <c r="F93" s="16">
        <v>45449</v>
      </c>
      <c r="G93" s="16">
        <v>45444</v>
      </c>
      <c r="H93" s="5" t="s">
        <v>55</v>
      </c>
      <c r="I93" s="5" t="s">
        <v>36</v>
      </c>
      <c r="J93" s="5" t="s">
        <v>88</v>
      </c>
      <c r="K93" s="5" t="s">
        <v>114</v>
      </c>
      <c r="L93" s="5" t="s">
        <v>266</v>
      </c>
      <c r="M93" s="5" t="s">
        <v>73</v>
      </c>
      <c r="N93" s="5" t="s">
        <v>45</v>
      </c>
      <c r="O93" s="5">
        <v>11</v>
      </c>
      <c r="P93" s="7">
        <v>8355</v>
      </c>
      <c r="Q93" s="7">
        <v>0</v>
      </c>
      <c r="R93" s="17">
        <v>0.79</v>
      </c>
      <c r="S93">
        <f t="shared" si="5"/>
        <v>79</v>
      </c>
      <c r="T93">
        <f t="shared" si="6"/>
        <v>6600.4500000000007</v>
      </c>
      <c r="U93" t="str">
        <f t="shared" si="7"/>
        <v>No</v>
      </c>
      <c r="V93">
        <f t="shared" si="8"/>
        <v>0</v>
      </c>
      <c r="W93" t="str">
        <f t="shared" si="9"/>
        <v>No</v>
      </c>
    </row>
    <row r="94" spans="1:23" x14ac:dyDescent="0.3">
      <c r="A94" s="12" t="s">
        <v>263</v>
      </c>
      <c r="B94" s="12" t="s">
        <v>264</v>
      </c>
      <c r="C94" s="12" t="s">
        <v>31</v>
      </c>
      <c r="D94" s="12" t="s">
        <v>67</v>
      </c>
      <c r="E94" s="13">
        <v>45370</v>
      </c>
      <c r="F94" s="13">
        <v>45446</v>
      </c>
      <c r="G94" s="13">
        <v>45444</v>
      </c>
      <c r="H94" s="12" t="s">
        <v>55</v>
      </c>
      <c r="I94" s="12" t="s">
        <v>36</v>
      </c>
      <c r="J94" s="12" t="s">
        <v>90</v>
      </c>
      <c r="K94" s="12" t="s">
        <v>116</v>
      </c>
      <c r="L94" s="12" t="s">
        <v>267</v>
      </c>
      <c r="M94" s="12" t="s">
        <v>30</v>
      </c>
      <c r="N94" s="12" t="s">
        <v>45</v>
      </c>
      <c r="O94" s="12">
        <v>5</v>
      </c>
      <c r="P94" s="14">
        <v>4000</v>
      </c>
      <c r="Q94" s="14">
        <v>3595</v>
      </c>
      <c r="R94" s="15">
        <v>1</v>
      </c>
      <c r="S94">
        <f t="shared" si="5"/>
        <v>76</v>
      </c>
      <c r="T94">
        <f t="shared" si="6"/>
        <v>4000</v>
      </c>
      <c r="U94" t="str">
        <f t="shared" si="7"/>
        <v>No</v>
      </c>
      <c r="V94">
        <f t="shared" si="8"/>
        <v>0</v>
      </c>
      <c r="W94" t="str">
        <f t="shared" si="9"/>
        <v>Yes</v>
      </c>
    </row>
    <row r="95" spans="1:23" x14ac:dyDescent="0.3">
      <c r="A95" s="5" t="s">
        <v>268</v>
      </c>
      <c r="B95" s="5" t="s">
        <v>269</v>
      </c>
      <c r="C95" s="5" t="s">
        <v>37</v>
      </c>
      <c r="D95" s="5" t="s">
        <v>75</v>
      </c>
      <c r="E95" s="16">
        <v>45327</v>
      </c>
      <c r="F95" s="16">
        <v>45714</v>
      </c>
      <c r="G95" s="16">
        <v>45689</v>
      </c>
      <c r="H95" s="5" t="s">
        <v>86</v>
      </c>
      <c r="I95" s="5" t="s">
        <v>48</v>
      </c>
      <c r="J95" s="5" t="s">
        <v>88</v>
      </c>
      <c r="K95" s="5" t="s">
        <v>112</v>
      </c>
      <c r="L95" s="5" t="s">
        <v>270</v>
      </c>
      <c r="M95" s="5" t="s">
        <v>73</v>
      </c>
      <c r="N95" s="5" t="s">
        <v>45</v>
      </c>
      <c r="O95" s="5">
        <v>12</v>
      </c>
      <c r="P95" s="7">
        <v>4133</v>
      </c>
      <c r="Q95" s="7">
        <v>0</v>
      </c>
      <c r="R95" s="17">
        <v>0.54</v>
      </c>
      <c r="S95">
        <f t="shared" si="5"/>
        <v>387</v>
      </c>
      <c r="T95">
        <f t="shared" si="6"/>
        <v>2231.8200000000002</v>
      </c>
      <c r="U95" t="str">
        <f t="shared" si="7"/>
        <v>No</v>
      </c>
      <c r="V95">
        <f t="shared" si="8"/>
        <v>0</v>
      </c>
      <c r="W95" t="str">
        <f t="shared" si="9"/>
        <v>No</v>
      </c>
    </row>
    <row r="96" spans="1:23" x14ac:dyDescent="0.3">
      <c r="A96" s="12" t="s">
        <v>268</v>
      </c>
      <c r="B96" s="12" t="s">
        <v>269</v>
      </c>
      <c r="C96" s="12" t="s">
        <v>37</v>
      </c>
      <c r="D96" s="12" t="s">
        <v>71</v>
      </c>
      <c r="E96" s="13">
        <v>45327</v>
      </c>
      <c r="F96" s="13">
        <v>45763</v>
      </c>
      <c r="G96" s="13">
        <v>45748</v>
      </c>
      <c r="H96" s="12" t="s">
        <v>91</v>
      </c>
      <c r="I96" s="12" t="s">
        <v>48</v>
      </c>
      <c r="J96" s="12" t="s">
        <v>90</v>
      </c>
      <c r="K96" s="12" t="s">
        <v>114</v>
      </c>
      <c r="L96" s="12" t="s">
        <v>271</v>
      </c>
      <c r="M96" s="12" t="s">
        <v>77</v>
      </c>
      <c r="N96" s="12" t="s">
        <v>33</v>
      </c>
      <c r="O96" s="12">
        <v>4</v>
      </c>
      <c r="P96" s="14">
        <v>8258</v>
      </c>
      <c r="Q96" s="14">
        <v>0</v>
      </c>
      <c r="R96" s="15">
        <v>0.39</v>
      </c>
      <c r="S96">
        <f t="shared" si="5"/>
        <v>436</v>
      </c>
      <c r="T96">
        <f t="shared" si="6"/>
        <v>3220.62</v>
      </c>
      <c r="U96" t="str">
        <f t="shared" si="7"/>
        <v>No</v>
      </c>
      <c r="V96">
        <f t="shared" si="8"/>
        <v>0</v>
      </c>
      <c r="W96" t="str">
        <f t="shared" si="9"/>
        <v>No</v>
      </c>
    </row>
    <row r="97" spans="1:23" x14ac:dyDescent="0.3">
      <c r="A97" s="5" t="s">
        <v>268</v>
      </c>
      <c r="B97" s="5" t="s">
        <v>269</v>
      </c>
      <c r="C97" s="5" t="s">
        <v>37</v>
      </c>
      <c r="D97" s="5" t="s">
        <v>84</v>
      </c>
      <c r="E97" s="16">
        <v>45327</v>
      </c>
      <c r="F97" s="16">
        <v>45740</v>
      </c>
      <c r="G97" s="16">
        <v>45717</v>
      </c>
      <c r="H97" s="5" t="s">
        <v>89</v>
      </c>
      <c r="I97" s="5" t="s">
        <v>48</v>
      </c>
      <c r="J97" s="5" t="s">
        <v>92</v>
      </c>
      <c r="K97" s="5" t="s">
        <v>116</v>
      </c>
      <c r="L97" s="5" t="s">
        <v>272</v>
      </c>
      <c r="M97" s="5" t="s">
        <v>73</v>
      </c>
      <c r="N97" s="5" t="s">
        <v>66</v>
      </c>
      <c r="O97" s="5">
        <v>33</v>
      </c>
      <c r="P97" s="7">
        <v>3654</v>
      </c>
      <c r="Q97" s="7">
        <v>0</v>
      </c>
      <c r="R97" s="17">
        <v>0.79</v>
      </c>
      <c r="S97">
        <f t="shared" si="5"/>
        <v>413</v>
      </c>
      <c r="T97">
        <f t="shared" si="6"/>
        <v>2886.6600000000003</v>
      </c>
      <c r="U97" t="str">
        <f t="shared" si="7"/>
        <v>No</v>
      </c>
      <c r="V97">
        <f t="shared" si="8"/>
        <v>0</v>
      </c>
      <c r="W97" t="str">
        <f t="shared" si="9"/>
        <v>No</v>
      </c>
    </row>
    <row r="98" spans="1:23" x14ac:dyDescent="0.3">
      <c r="A98" s="12" t="s">
        <v>273</v>
      </c>
      <c r="B98" s="12" t="s">
        <v>274</v>
      </c>
      <c r="C98" s="12" t="s">
        <v>43</v>
      </c>
      <c r="D98" s="12" t="s">
        <v>79</v>
      </c>
      <c r="E98" s="13">
        <v>45427</v>
      </c>
      <c r="F98" s="13">
        <v>45560</v>
      </c>
      <c r="G98" s="13">
        <v>45536</v>
      </c>
      <c r="H98" s="12" t="s">
        <v>69</v>
      </c>
      <c r="I98" s="12" t="s">
        <v>42</v>
      </c>
      <c r="J98" s="12" t="s">
        <v>92</v>
      </c>
      <c r="K98" s="12" t="s">
        <v>112</v>
      </c>
      <c r="L98" s="12" t="s">
        <v>275</v>
      </c>
      <c r="M98" s="12" t="s">
        <v>30</v>
      </c>
      <c r="N98" s="12" t="s">
        <v>66</v>
      </c>
      <c r="O98" s="12">
        <v>4</v>
      </c>
      <c r="P98" s="14">
        <v>4561</v>
      </c>
      <c r="Q98" s="14">
        <v>4256</v>
      </c>
      <c r="R98" s="15">
        <v>1</v>
      </c>
      <c r="S98">
        <f t="shared" si="5"/>
        <v>133</v>
      </c>
      <c r="T98">
        <f t="shared" si="6"/>
        <v>4561</v>
      </c>
      <c r="U98" t="str">
        <f t="shared" si="7"/>
        <v>No</v>
      </c>
      <c r="V98">
        <f t="shared" si="8"/>
        <v>0</v>
      </c>
      <c r="W98" t="str">
        <f t="shared" si="9"/>
        <v>Yes</v>
      </c>
    </row>
    <row r="99" spans="1:23" x14ac:dyDescent="0.3">
      <c r="A99" s="5" t="s">
        <v>273</v>
      </c>
      <c r="B99" s="5" t="s">
        <v>274</v>
      </c>
      <c r="C99" s="5" t="s">
        <v>43</v>
      </c>
      <c r="D99" s="5" t="s">
        <v>57</v>
      </c>
      <c r="E99" s="16">
        <v>45427</v>
      </c>
      <c r="F99" s="16">
        <v>45583</v>
      </c>
      <c r="G99" s="16">
        <v>45566</v>
      </c>
      <c r="H99" s="5" t="s">
        <v>74</v>
      </c>
      <c r="I99" s="5" t="s">
        <v>42</v>
      </c>
      <c r="J99" s="5" t="s">
        <v>88</v>
      </c>
      <c r="K99" s="5" t="s">
        <v>114</v>
      </c>
      <c r="L99" s="5" t="s">
        <v>276</v>
      </c>
      <c r="M99" s="5" t="s">
        <v>73</v>
      </c>
      <c r="N99" s="5" t="s">
        <v>51</v>
      </c>
      <c r="O99" s="5">
        <v>10</v>
      </c>
      <c r="P99" s="7">
        <v>9743</v>
      </c>
      <c r="Q99" s="7">
        <v>0</v>
      </c>
      <c r="R99" s="17">
        <v>0.71</v>
      </c>
      <c r="S99">
        <f t="shared" si="5"/>
        <v>156</v>
      </c>
      <c r="T99">
        <f t="shared" si="6"/>
        <v>6917.53</v>
      </c>
      <c r="U99" t="str">
        <f t="shared" si="7"/>
        <v>No</v>
      </c>
      <c r="V99">
        <f t="shared" si="8"/>
        <v>0</v>
      </c>
      <c r="W99" t="str">
        <f t="shared" si="9"/>
        <v>No</v>
      </c>
    </row>
    <row r="100" spans="1:23" x14ac:dyDescent="0.3">
      <c r="A100" s="12" t="s">
        <v>273</v>
      </c>
      <c r="B100" s="12" t="s">
        <v>274</v>
      </c>
      <c r="C100" s="12" t="s">
        <v>43</v>
      </c>
      <c r="D100" s="12" t="s">
        <v>75</v>
      </c>
      <c r="E100" s="13">
        <v>45427</v>
      </c>
      <c r="F100" s="13">
        <v>45558</v>
      </c>
      <c r="G100" s="13">
        <v>45536</v>
      </c>
      <c r="H100" s="12" t="s">
        <v>69</v>
      </c>
      <c r="I100" s="12" t="s">
        <v>42</v>
      </c>
      <c r="J100" s="12" t="s">
        <v>88</v>
      </c>
      <c r="K100" s="12" t="s">
        <v>116</v>
      </c>
      <c r="L100" s="12" t="s">
        <v>277</v>
      </c>
      <c r="M100" s="12" t="s">
        <v>30</v>
      </c>
      <c r="N100" s="12" t="s">
        <v>66</v>
      </c>
      <c r="O100" s="12">
        <v>4</v>
      </c>
      <c r="P100" s="14">
        <v>7316</v>
      </c>
      <c r="Q100" s="14">
        <v>7140</v>
      </c>
      <c r="R100" s="15">
        <v>1</v>
      </c>
      <c r="S100">
        <f t="shared" si="5"/>
        <v>131</v>
      </c>
      <c r="T100">
        <f t="shared" si="6"/>
        <v>7316</v>
      </c>
      <c r="U100" t="str">
        <f t="shared" si="7"/>
        <v>No</v>
      </c>
      <c r="V100">
        <f t="shared" si="8"/>
        <v>0</v>
      </c>
      <c r="W100" t="str">
        <f t="shared" si="9"/>
        <v>Yes</v>
      </c>
    </row>
    <row r="101" spans="1:23" x14ac:dyDescent="0.3">
      <c r="A101" s="5" t="s">
        <v>278</v>
      </c>
      <c r="B101" s="5" t="s">
        <v>279</v>
      </c>
      <c r="C101" s="5" t="s">
        <v>49</v>
      </c>
      <c r="D101" s="5" t="s">
        <v>87</v>
      </c>
      <c r="E101" s="16">
        <v>45456</v>
      </c>
      <c r="F101" s="16">
        <v>45536</v>
      </c>
      <c r="G101" s="16">
        <v>45536</v>
      </c>
      <c r="H101" s="5" t="s">
        <v>69</v>
      </c>
      <c r="I101" s="5" t="s">
        <v>42</v>
      </c>
      <c r="J101" s="5" t="s">
        <v>88</v>
      </c>
      <c r="K101" s="5" t="s">
        <v>112</v>
      </c>
      <c r="L101" s="5" t="s">
        <v>280</v>
      </c>
      <c r="M101" s="5" t="s">
        <v>77</v>
      </c>
      <c r="N101" s="5" t="s">
        <v>51</v>
      </c>
      <c r="O101" s="5">
        <v>14</v>
      </c>
      <c r="P101" s="7">
        <v>2342</v>
      </c>
      <c r="Q101" s="7">
        <v>0</v>
      </c>
      <c r="R101" s="17">
        <v>0.47</v>
      </c>
      <c r="S101">
        <f t="shared" si="5"/>
        <v>80</v>
      </c>
      <c r="T101">
        <f t="shared" si="6"/>
        <v>1100.74</v>
      </c>
      <c r="U101" t="str">
        <f t="shared" si="7"/>
        <v>No</v>
      </c>
      <c r="V101">
        <f t="shared" si="8"/>
        <v>0</v>
      </c>
      <c r="W101" t="str">
        <f t="shared" si="9"/>
        <v>No</v>
      </c>
    </row>
    <row r="102" spans="1:23" x14ac:dyDescent="0.3">
      <c r="A102" s="12" t="s">
        <v>278</v>
      </c>
      <c r="B102" s="12" t="s">
        <v>279</v>
      </c>
      <c r="C102" s="12" t="s">
        <v>49</v>
      </c>
      <c r="D102" s="12" t="s">
        <v>62</v>
      </c>
      <c r="E102" s="13">
        <v>45456</v>
      </c>
      <c r="F102" s="13">
        <v>45521</v>
      </c>
      <c r="G102" s="13">
        <v>45505</v>
      </c>
      <c r="H102" s="12" t="s">
        <v>65</v>
      </c>
      <c r="I102" s="12" t="s">
        <v>42</v>
      </c>
      <c r="J102" s="12" t="s">
        <v>88</v>
      </c>
      <c r="K102" s="12" t="s">
        <v>114</v>
      </c>
      <c r="L102" s="12" t="s">
        <v>281</v>
      </c>
      <c r="M102" s="12" t="s">
        <v>30</v>
      </c>
      <c r="N102" s="12" t="s">
        <v>56</v>
      </c>
      <c r="O102" s="12">
        <v>22</v>
      </c>
      <c r="P102" s="14">
        <v>5899</v>
      </c>
      <c r="Q102" s="14">
        <v>5436</v>
      </c>
      <c r="R102" s="15">
        <v>1</v>
      </c>
      <c r="S102">
        <f t="shared" si="5"/>
        <v>65</v>
      </c>
      <c r="T102">
        <f t="shared" si="6"/>
        <v>5899</v>
      </c>
      <c r="U102" t="str">
        <f t="shared" si="7"/>
        <v>No</v>
      </c>
      <c r="V102">
        <f t="shared" si="8"/>
        <v>0</v>
      </c>
      <c r="W102" t="str">
        <f t="shared" si="9"/>
        <v>Yes</v>
      </c>
    </row>
    <row r="103" spans="1:23" x14ac:dyDescent="0.3">
      <c r="A103" s="5" t="s">
        <v>278</v>
      </c>
      <c r="B103" s="5" t="s">
        <v>279</v>
      </c>
      <c r="C103" s="5" t="s">
        <v>49</v>
      </c>
      <c r="D103" s="5" t="s">
        <v>46</v>
      </c>
      <c r="E103" s="16">
        <v>45456</v>
      </c>
      <c r="F103" s="16">
        <v>45525</v>
      </c>
      <c r="G103" s="16">
        <v>45505</v>
      </c>
      <c r="H103" s="5" t="s">
        <v>65</v>
      </c>
      <c r="I103" s="5" t="s">
        <v>42</v>
      </c>
      <c r="J103" s="5" t="s">
        <v>88</v>
      </c>
      <c r="K103" s="5" t="s">
        <v>116</v>
      </c>
      <c r="L103" s="5" t="s">
        <v>282</v>
      </c>
      <c r="M103" s="5" t="s">
        <v>73</v>
      </c>
      <c r="N103" s="5" t="s">
        <v>33</v>
      </c>
      <c r="O103" s="5">
        <v>32</v>
      </c>
      <c r="P103" s="7">
        <v>8314</v>
      </c>
      <c r="Q103" s="7">
        <v>0</v>
      </c>
      <c r="R103" s="17">
        <v>0.68</v>
      </c>
      <c r="S103">
        <f t="shared" si="5"/>
        <v>69</v>
      </c>
      <c r="T103">
        <f t="shared" si="6"/>
        <v>5653.52</v>
      </c>
      <c r="U103" t="str">
        <f t="shared" si="7"/>
        <v>No</v>
      </c>
      <c r="V103">
        <f t="shared" si="8"/>
        <v>0</v>
      </c>
      <c r="W103" t="str">
        <f t="shared" si="9"/>
        <v>No</v>
      </c>
    </row>
    <row r="104" spans="1:23" x14ac:dyDescent="0.3">
      <c r="A104" s="12" t="s">
        <v>283</v>
      </c>
      <c r="B104" s="12" t="s">
        <v>284</v>
      </c>
      <c r="C104" s="12" t="s">
        <v>54</v>
      </c>
      <c r="D104" s="12" t="s">
        <v>75</v>
      </c>
      <c r="E104" s="13">
        <v>45471</v>
      </c>
      <c r="F104" s="13">
        <v>45504</v>
      </c>
      <c r="G104" s="13">
        <v>45474</v>
      </c>
      <c r="H104" s="12" t="s">
        <v>60</v>
      </c>
      <c r="I104" s="12" t="s">
        <v>48</v>
      </c>
      <c r="J104" s="12" t="s">
        <v>90</v>
      </c>
      <c r="K104" s="12" t="s">
        <v>112</v>
      </c>
      <c r="L104" s="12" t="s">
        <v>285</v>
      </c>
      <c r="M104" s="12" t="s">
        <v>30</v>
      </c>
      <c r="N104" s="12" t="s">
        <v>45</v>
      </c>
      <c r="O104" s="12">
        <v>14</v>
      </c>
      <c r="P104" s="14">
        <v>7361</v>
      </c>
      <c r="Q104" s="14">
        <v>7026</v>
      </c>
      <c r="R104" s="15">
        <v>1</v>
      </c>
      <c r="S104">
        <f t="shared" si="5"/>
        <v>33</v>
      </c>
      <c r="T104">
        <f t="shared" si="6"/>
        <v>7361</v>
      </c>
      <c r="U104" t="str">
        <f t="shared" si="7"/>
        <v>No</v>
      </c>
      <c r="V104">
        <f t="shared" si="8"/>
        <v>0</v>
      </c>
      <c r="W104" t="str">
        <f t="shared" si="9"/>
        <v>Yes</v>
      </c>
    </row>
    <row r="105" spans="1:23" x14ac:dyDescent="0.3">
      <c r="A105" s="5" t="s">
        <v>283</v>
      </c>
      <c r="B105" s="5" t="s">
        <v>284</v>
      </c>
      <c r="C105" s="5" t="s">
        <v>54</v>
      </c>
      <c r="D105" s="5" t="s">
        <v>34</v>
      </c>
      <c r="E105" s="16">
        <v>45471</v>
      </c>
      <c r="F105" s="16">
        <v>45504</v>
      </c>
      <c r="G105" s="16">
        <v>45474</v>
      </c>
      <c r="H105" s="5" t="s">
        <v>60</v>
      </c>
      <c r="I105" s="5" t="s">
        <v>48</v>
      </c>
      <c r="J105" s="5" t="s">
        <v>92</v>
      </c>
      <c r="K105" s="5" t="s">
        <v>114</v>
      </c>
      <c r="L105" s="5" t="s">
        <v>286</v>
      </c>
      <c r="M105" s="5" t="s">
        <v>30</v>
      </c>
      <c r="N105" s="5" t="s">
        <v>51</v>
      </c>
      <c r="O105" s="5">
        <v>11</v>
      </c>
      <c r="P105" s="7">
        <v>6901</v>
      </c>
      <c r="Q105" s="7">
        <v>6528</v>
      </c>
      <c r="R105" s="17">
        <v>1</v>
      </c>
      <c r="S105">
        <f t="shared" si="5"/>
        <v>33</v>
      </c>
      <c r="T105">
        <f t="shared" si="6"/>
        <v>6901</v>
      </c>
      <c r="U105" t="str">
        <f t="shared" si="7"/>
        <v>No</v>
      </c>
      <c r="V105">
        <f t="shared" si="8"/>
        <v>0</v>
      </c>
      <c r="W105" t="str">
        <f t="shared" si="9"/>
        <v>Yes</v>
      </c>
    </row>
    <row r="106" spans="1:23" x14ac:dyDescent="0.3">
      <c r="A106" s="12" t="s">
        <v>283</v>
      </c>
      <c r="B106" s="12" t="s">
        <v>284</v>
      </c>
      <c r="C106" s="12" t="s">
        <v>54</v>
      </c>
      <c r="D106" s="12" t="s">
        <v>75</v>
      </c>
      <c r="E106" s="13">
        <v>45471</v>
      </c>
      <c r="F106" s="13">
        <v>45773</v>
      </c>
      <c r="G106" s="13">
        <v>45748</v>
      </c>
      <c r="H106" s="12" t="s">
        <v>91</v>
      </c>
      <c r="I106" s="12" t="s">
        <v>48</v>
      </c>
      <c r="J106" s="12" t="s">
        <v>88</v>
      </c>
      <c r="K106" s="12" t="s">
        <v>116</v>
      </c>
      <c r="L106" s="12" t="s">
        <v>287</v>
      </c>
      <c r="M106" s="12" t="s">
        <v>77</v>
      </c>
      <c r="N106" s="12" t="s">
        <v>66</v>
      </c>
      <c r="O106" s="12">
        <v>40</v>
      </c>
      <c r="P106" s="14">
        <v>5183</v>
      </c>
      <c r="Q106" s="14">
        <v>0</v>
      </c>
      <c r="R106" s="15">
        <v>0.28999999999999998</v>
      </c>
      <c r="S106">
        <f t="shared" si="5"/>
        <v>302</v>
      </c>
      <c r="T106">
        <f t="shared" si="6"/>
        <v>1503.07</v>
      </c>
      <c r="U106" t="str">
        <f t="shared" si="7"/>
        <v>No</v>
      </c>
      <c r="V106">
        <f t="shared" si="8"/>
        <v>0</v>
      </c>
      <c r="W106" t="str">
        <f t="shared" si="9"/>
        <v>No</v>
      </c>
    </row>
    <row r="107" spans="1:23" x14ac:dyDescent="0.3">
      <c r="A107" s="5" t="s">
        <v>288</v>
      </c>
      <c r="B107" s="5" t="s">
        <v>289</v>
      </c>
      <c r="C107" s="5" t="s">
        <v>31</v>
      </c>
      <c r="D107" s="5" t="s">
        <v>40</v>
      </c>
      <c r="E107" s="16">
        <v>45377</v>
      </c>
      <c r="F107" s="16">
        <v>45483</v>
      </c>
      <c r="G107" s="16">
        <v>45474</v>
      </c>
      <c r="H107" s="5" t="s">
        <v>60</v>
      </c>
      <c r="I107" s="5" t="s">
        <v>42</v>
      </c>
      <c r="J107" s="5" t="s">
        <v>88</v>
      </c>
      <c r="K107" s="5" t="s">
        <v>112</v>
      </c>
      <c r="L107" s="5" t="s">
        <v>290</v>
      </c>
      <c r="M107" s="5" t="s">
        <v>73</v>
      </c>
      <c r="N107" s="5" t="s">
        <v>39</v>
      </c>
      <c r="O107" s="5">
        <v>8</v>
      </c>
      <c r="P107" s="7">
        <v>1220</v>
      </c>
      <c r="Q107" s="7">
        <v>0</v>
      </c>
      <c r="R107" s="17">
        <v>0.79</v>
      </c>
      <c r="S107">
        <f t="shared" si="5"/>
        <v>106</v>
      </c>
      <c r="T107">
        <f t="shared" si="6"/>
        <v>963.80000000000007</v>
      </c>
      <c r="U107" t="str">
        <f t="shared" si="7"/>
        <v>No</v>
      </c>
      <c r="V107">
        <f t="shared" si="8"/>
        <v>0</v>
      </c>
      <c r="W107" t="str">
        <f t="shared" si="9"/>
        <v>No</v>
      </c>
    </row>
    <row r="108" spans="1:23" x14ac:dyDescent="0.3">
      <c r="A108" s="12" t="s">
        <v>288</v>
      </c>
      <c r="B108" s="12" t="s">
        <v>289</v>
      </c>
      <c r="C108" s="12" t="s">
        <v>31</v>
      </c>
      <c r="D108" s="12" t="s">
        <v>67</v>
      </c>
      <c r="E108" s="13">
        <v>45377</v>
      </c>
      <c r="F108" s="13">
        <v>45502</v>
      </c>
      <c r="G108" s="13">
        <v>45474</v>
      </c>
      <c r="H108" s="12" t="s">
        <v>60</v>
      </c>
      <c r="I108" s="12" t="s">
        <v>42</v>
      </c>
      <c r="J108" s="12" t="s">
        <v>90</v>
      </c>
      <c r="K108" s="12" t="s">
        <v>114</v>
      </c>
      <c r="L108" s="12" t="s">
        <v>291</v>
      </c>
      <c r="M108" s="12" t="s">
        <v>77</v>
      </c>
      <c r="N108" s="12" t="s">
        <v>70</v>
      </c>
      <c r="O108" s="12">
        <v>16</v>
      </c>
      <c r="P108" s="14">
        <v>6005</v>
      </c>
      <c r="Q108" s="14">
        <v>0</v>
      </c>
      <c r="R108" s="15">
        <v>0.64</v>
      </c>
      <c r="S108">
        <f t="shared" si="5"/>
        <v>125</v>
      </c>
      <c r="T108">
        <f t="shared" si="6"/>
        <v>3843.2000000000003</v>
      </c>
      <c r="U108" t="str">
        <f t="shared" si="7"/>
        <v>No</v>
      </c>
      <c r="V108">
        <f t="shared" si="8"/>
        <v>0</v>
      </c>
      <c r="W108" t="str">
        <f t="shared" si="9"/>
        <v>No</v>
      </c>
    </row>
    <row r="109" spans="1:23" x14ac:dyDescent="0.3">
      <c r="A109" s="5" t="s">
        <v>288</v>
      </c>
      <c r="B109" s="5" t="s">
        <v>289</v>
      </c>
      <c r="C109" s="5" t="s">
        <v>31</v>
      </c>
      <c r="D109" s="5" t="s">
        <v>79</v>
      </c>
      <c r="E109" s="16">
        <v>45377</v>
      </c>
      <c r="F109" s="16">
        <v>45471</v>
      </c>
      <c r="G109" s="16">
        <v>45444</v>
      </c>
      <c r="H109" s="5" t="s">
        <v>55</v>
      </c>
      <c r="I109" s="5" t="s">
        <v>42</v>
      </c>
      <c r="J109" s="5" t="s">
        <v>88</v>
      </c>
      <c r="K109" s="5" t="s">
        <v>116</v>
      </c>
      <c r="L109" s="5" t="s">
        <v>292</v>
      </c>
      <c r="M109" s="5" t="s">
        <v>30</v>
      </c>
      <c r="N109" s="5" t="s">
        <v>56</v>
      </c>
      <c r="O109" s="5">
        <v>32</v>
      </c>
      <c r="P109" s="7">
        <v>3891</v>
      </c>
      <c r="Q109" s="7">
        <v>3841</v>
      </c>
      <c r="R109" s="17">
        <v>1</v>
      </c>
      <c r="S109">
        <f t="shared" si="5"/>
        <v>94</v>
      </c>
      <c r="T109">
        <f t="shared" si="6"/>
        <v>3891</v>
      </c>
      <c r="U109" t="str">
        <f t="shared" si="7"/>
        <v>No</v>
      </c>
      <c r="V109">
        <f t="shared" si="8"/>
        <v>0</v>
      </c>
      <c r="W109" t="str">
        <f t="shared" si="9"/>
        <v>Yes</v>
      </c>
    </row>
    <row r="110" spans="1:23" x14ac:dyDescent="0.3">
      <c r="A110" s="12" t="s">
        <v>293</v>
      </c>
      <c r="B110" s="12" t="s">
        <v>294</v>
      </c>
      <c r="C110" s="12" t="s">
        <v>59</v>
      </c>
      <c r="D110" s="12" t="s">
        <v>34</v>
      </c>
      <c r="E110" s="13">
        <v>45307</v>
      </c>
      <c r="F110" s="13">
        <v>45504</v>
      </c>
      <c r="G110" s="13">
        <v>45474</v>
      </c>
      <c r="H110" s="12" t="s">
        <v>60</v>
      </c>
      <c r="I110" s="12" t="s">
        <v>42</v>
      </c>
      <c r="J110" s="12" t="s">
        <v>90</v>
      </c>
      <c r="K110" s="12" t="s">
        <v>112</v>
      </c>
      <c r="L110" s="12" t="s">
        <v>295</v>
      </c>
      <c r="M110" s="12" t="s">
        <v>73</v>
      </c>
      <c r="N110" s="12" t="s">
        <v>56</v>
      </c>
      <c r="O110" s="12">
        <v>12</v>
      </c>
      <c r="P110" s="14">
        <v>9160</v>
      </c>
      <c r="Q110" s="14">
        <v>0</v>
      </c>
      <c r="R110" s="15">
        <v>0.09</v>
      </c>
      <c r="S110">
        <f t="shared" si="5"/>
        <v>197</v>
      </c>
      <c r="T110">
        <f t="shared" si="6"/>
        <v>824.4</v>
      </c>
      <c r="U110" t="str">
        <f t="shared" si="7"/>
        <v>No</v>
      </c>
      <c r="V110">
        <f t="shared" si="8"/>
        <v>0</v>
      </c>
      <c r="W110" t="str">
        <f t="shared" si="9"/>
        <v>No</v>
      </c>
    </row>
    <row r="111" spans="1:23" x14ac:dyDescent="0.3">
      <c r="A111" s="5" t="s">
        <v>293</v>
      </c>
      <c r="B111" s="5" t="s">
        <v>294</v>
      </c>
      <c r="C111" s="5" t="s">
        <v>59</v>
      </c>
      <c r="D111" s="5" t="s">
        <v>46</v>
      </c>
      <c r="E111" s="16">
        <v>45307</v>
      </c>
      <c r="F111" s="16">
        <v>45437</v>
      </c>
      <c r="G111" s="16">
        <v>45413</v>
      </c>
      <c r="H111" s="5" t="s">
        <v>50</v>
      </c>
      <c r="I111" s="5" t="s">
        <v>42</v>
      </c>
      <c r="J111" s="5" t="s">
        <v>88</v>
      </c>
      <c r="K111" s="5" t="s">
        <v>114</v>
      </c>
      <c r="L111" s="5" t="s">
        <v>296</v>
      </c>
      <c r="M111" s="5" t="s">
        <v>30</v>
      </c>
      <c r="N111" s="5" t="s">
        <v>51</v>
      </c>
      <c r="O111" s="5">
        <v>15</v>
      </c>
      <c r="P111" s="7">
        <v>1719</v>
      </c>
      <c r="Q111" s="7">
        <v>1494</v>
      </c>
      <c r="R111" s="17">
        <v>1</v>
      </c>
      <c r="S111">
        <f t="shared" si="5"/>
        <v>130</v>
      </c>
      <c r="T111">
        <f t="shared" si="6"/>
        <v>1719</v>
      </c>
      <c r="U111" t="str">
        <f t="shared" si="7"/>
        <v>No</v>
      </c>
      <c r="V111">
        <f t="shared" si="8"/>
        <v>0</v>
      </c>
      <c r="W111" t="str">
        <f t="shared" si="9"/>
        <v>Yes</v>
      </c>
    </row>
    <row r="112" spans="1:23" x14ac:dyDescent="0.3">
      <c r="A112" s="12" t="s">
        <v>293</v>
      </c>
      <c r="B112" s="12" t="s">
        <v>294</v>
      </c>
      <c r="C112" s="12" t="s">
        <v>59</v>
      </c>
      <c r="D112" s="12" t="s">
        <v>52</v>
      </c>
      <c r="E112" s="13">
        <v>45307</v>
      </c>
      <c r="F112" s="13">
        <v>45456</v>
      </c>
      <c r="G112" s="13">
        <v>45444</v>
      </c>
      <c r="H112" s="12" t="s">
        <v>55</v>
      </c>
      <c r="I112" s="12" t="s">
        <v>42</v>
      </c>
      <c r="J112" s="12" t="s">
        <v>88</v>
      </c>
      <c r="K112" s="12" t="s">
        <v>116</v>
      </c>
      <c r="L112" s="12" t="s">
        <v>297</v>
      </c>
      <c r="M112" s="12" t="s">
        <v>77</v>
      </c>
      <c r="N112" s="12" t="s">
        <v>56</v>
      </c>
      <c r="O112" s="12">
        <v>2</v>
      </c>
      <c r="P112" s="14">
        <v>5180</v>
      </c>
      <c r="Q112" s="14">
        <v>0</v>
      </c>
      <c r="R112" s="15">
        <v>0.33</v>
      </c>
      <c r="S112">
        <f t="shared" si="5"/>
        <v>149</v>
      </c>
      <c r="T112">
        <f t="shared" si="6"/>
        <v>1709.4</v>
      </c>
      <c r="U112" t="str">
        <f t="shared" si="7"/>
        <v>No</v>
      </c>
      <c r="V112">
        <f t="shared" si="8"/>
        <v>0</v>
      </c>
      <c r="W112" t="str">
        <f t="shared" si="9"/>
        <v>No</v>
      </c>
    </row>
    <row r="113" spans="1:23" x14ac:dyDescent="0.3">
      <c r="A113" s="5" t="s">
        <v>298</v>
      </c>
      <c r="B113" s="5" t="s">
        <v>299</v>
      </c>
      <c r="C113" s="5" t="s">
        <v>43</v>
      </c>
      <c r="D113" s="5" t="s">
        <v>57</v>
      </c>
      <c r="E113" s="16">
        <v>45306</v>
      </c>
      <c r="F113" s="16">
        <v>45352</v>
      </c>
      <c r="G113" s="16">
        <v>45352</v>
      </c>
      <c r="H113" s="5" t="s">
        <v>38</v>
      </c>
      <c r="I113" s="5" t="s">
        <v>42</v>
      </c>
      <c r="J113" s="5" t="s">
        <v>90</v>
      </c>
      <c r="K113" s="5" t="s">
        <v>112</v>
      </c>
      <c r="L113" s="5" t="s">
        <v>300</v>
      </c>
      <c r="M113" s="5" t="s">
        <v>77</v>
      </c>
      <c r="N113" s="5" t="s">
        <v>39</v>
      </c>
      <c r="O113" s="5">
        <v>14</v>
      </c>
      <c r="P113" s="7">
        <v>8804</v>
      </c>
      <c r="Q113" s="7">
        <v>0</v>
      </c>
      <c r="R113" s="17">
        <v>0.93</v>
      </c>
      <c r="S113">
        <f t="shared" si="5"/>
        <v>46</v>
      </c>
      <c r="T113">
        <f t="shared" si="6"/>
        <v>8187.72</v>
      </c>
      <c r="U113" t="str">
        <f t="shared" si="7"/>
        <v>No</v>
      </c>
      <c r="V113">
        <f t="shared" si="8"/>
        <v>0</v>
      </c>
      <c r="W113" t="str">
        <f t="shared" si="9"/>
        <v>No</v>
      </c>
    </row>
    <row r="114" spans="1:23" x14ac:dyDescent="0.3">
      <c r="A114" s="12" t="s">
        <v>298</v>
      </c>
      <c r="B114" s="12" t="s">
        <v>299</v>
      </c>
      <c r="C114" s="12" t="s">
        <v>43</v>
      </c>
      <c r="D114" s="12" t="s">
        <v>40</v>
      </c>
      <c r="E114" s="13">
        <v>45306</v>
      </c>
      <c r="F114" s="13">
        <v>45370</v>
      </c>
      <c r="G114" s="13">
        <v>45352</v>
      </c>
      <c r="H114" s="12" t="s">
        <v>38</v>
      </c>
      <c r="I114" s="12" t="s">
        <v>42</v>
      </c>
      <c r="J114" s="12" t="s">
        <v>92</v>
      </c>
      <c r="K114" s="12" t="s">
        <v>114</v>
      </c>
      <c r="L114" s="12" t="s">
        <v>301</v>
      </c>
      <c r="M114" s="12" t="s">
        <v>30</v>
      </c>
      <c r="N114" s="12" t="s">
        <v>33</v>
      </c>
      <c r="O114" s="12">
        <v>38</v>
      </c>
      <c r="P114" s="14">
        <v>8552</v>
      </c>
      <c r="Q114" s="14">
        <v>8463</v>
      </c>
      <c r="R114" s="15">
        <v>1</v>
      </c>
      <c r="S114">
        <f t="shared" si="5"/>
        <v>64</v>
      </c>
      <c r="T114">
        <f t="shared" si="6"/>
        <v>8552</v>
      </c>
      <c r="U114" t="str">
        <f t="shared" si="7"/>
        <v>No</v>
      </c>
      <c r="V114">
        <f t="shared" si="8"/>
        <v>0</v>
      </c>
      <c r="W114" t="str">
        <f t="shared" si="9"/>
        <v>Yes</v>
      </c>
    </row>
    <row r="115" spans="1:23" x14ac:dyDescent="0.3">
      <c r="A115" s="5" t="s">
        <v>298</v>
      </c>
      <c r="B115" s="5" t="s">
        <v>299</v>
      </c>
      <c r="C115" s="5" t="s">
        <v>43</v>
      </c>
      <c r="D115" s="5" t="s">
        <v>40</v>
      </c>
      <c r="E115" s="16">
        <v>45306</v>
      </c>
      <c r="F115" s="16">
        <v>45355</v>
      </c>
      <c r="G115" s="16">
        <v>45352</v>
      </c>
      <c r="H115" s="5" t="s">
        <v>38</v>
      </c>
      <c r="I115" s="5" t="s">
        <v>42</v>
      </c>
      <c r="J115" s="5" t="s">
        <v>88</v>
      </c>
      <c r="K115" s="5" t="s">
        <v>116</v>
      </c>
      <c r="L115" s="5" t="s">
        <v>302</v>
      </c>
      <c r="M115" s="5" t="s">
        <v>73</v>
      </c>
      <c r="N115" s="5" t="s">
        <v>33</v>
      </c>
      <c r="O115" s="5">
        <v>32</v>
      </c>
      <c r="P115" s="7">
        <v>6348</v>
      </c>
      <c r="Q115" s="7">
        <v>0</v>
      </c>
      <c r="R115" s="17">
        <v>0.21</v>
      </c>
      <c r="S115">
        <f t="shared" si="5"/>
        <v>49</v>
      </c>
      <c r="T115">
        <f t="shared" si="6"/>
        <v>1333.08</v>
      </c>
      <c r="U115" t="str">
        <f t="shared" si="7"/>
        <v>No</v>
      </c>
      <c r="V115">
        <f t="shared" si="8"/>
        <v>0</v>
      </c>
      <c r="W115" t="str">
        <f t="shared" si="9"/>
        <v>No</v>
      </c>
    </row>
    <row r="116" spans="1:23" x14ac:dyDescent="0.3">
      <c r="A116" s="12" t="s">
        <v>303</v>
      </c>
      <c r="B116" s="12" t="s">
        <v>304</v>
      </c>
      <c r="C116" s="12" t="s">
        <v>59</v>
      </c>
      <c r="D116" s="12" t="s">
        <v>34</v>
      </c>
      <c r="E116" s="13">
        <v>45316</v>
      </c>
      <c r="F116" s="13">
        <v>45374</v>
      </c>
      <c r="G116" s="13">
        <v>45352</v>
      </c>
      <c r="H116" s="12" t="s">
        <v>38</v>
      </c>
      <c r="I116" s="12" t="s">
        <v>30</v>
      </c>
      <c r="J116" s="12" t="s">
        <v>88</v>
      </c>
      <c r="K116" s="12" t="s">
        <v>112</v>
      </c>
      <c r="L116" s="12" t="s">
        <v>305</v>
      </c>
      <c r="M116" s="12" t="s">
        <v>30</v>
      </c>
      <c r="N116" s="12" t="s">
        <v>33</v>
      </c>
      <c r="O116" s="12">
        <v>39</v>
      </c>
      <c r="P116" s="14">
        <v>5312</v>
      </c>
      <c r="Q116" s="14">
        <v>4818</v>
      </c>
      <c r="R116" s="15">
        <v>1</v>
      </c>
      <c r="S116">
        <f t="shared" si="5"/>
        <v>58</v>
      </c>
      <c r="T116">
        <f t="shared" si="6"/>
        <v>5312</v>
      </c>
      <c r="U116" t="str">
        <f t="shared" si="7"/>
        <v>No</v>
      </c>
      <c r="V116">
        <f t="shared" si="8"/>
        <v>0</v>
      </c>
      <c r="W116" t="str">
        <f t="shared" si="9"/>
        <v>Yes</v>
      </c>
    </row>
    <row r="117" spans="1:23" x14ac:dyDescent="0.3">
      <c r="A117" s="5" t="s">
        <v>303</v>
      </c>
      <c r="B117" s="5" t="s">
        <v>304</v>
      </c>
      <c r="C117" s="5" t="s">
        <v>59</v>
      </c>
      <c r="D117" s="5" t="s">
        <v>34</v>
      </c>
      <c r="E117" s="16">
        <v>45316</v>
      </c>
      <c r="F117" s="16">
        <v>45382</v>
      </c>
      <c r="G117" s="16">
        <v>45352</v>
      </c>
      <c r="H117" s="5" t="s">
        <v>38</v>
      </c>
      <c r="I117" s="5" t="s">
        <v>30</v>
      </c>
      <c r="J117" s="5" t="s">
        <v>88</v>
      </c>
      <c r="K117" s="5" t="s">
        <v>114</v>
      </c>
      <c r="L117" s="5" t="s">
        <v>306</v>
      </c>
      <c r="M117" s="5" t="s">
        <v>77</v>
      </c>
      <c r="N117" s="5" t="s">
        <v>56</v>
      </c>
      <c r="O117" s="5">
        <v>2</v>
      </c>
      <c r="P117" s="7">
        <v>9232</v>
      </c>
      <c r="Q117" s="7">
        <v>0</v>
      </c>
      <c r="R117" s="17">
        <v>0.24</v>
      </c>
      <c r="S117">
        <f t="shared" si="5"/>
        <v>66</v>
      </c>
      <c r="T117">
        <f t="shared" si="6"/>
        <v>2215.6799999999998</v>
      </c>
      <c r="U117" t="str">
        <f t="shared" si="7"/>
        <v>No</v>
      </c>
      <c r="V117">
        <f t="shared" si="8"/>
        <v>0</v>
      </c>
      <c r="W117" t="str">
        <f t="shared" si="9"/>
        <v>No</v>
      </c>
    </row>
    <row r="118" spans="1:23" x14ac:dyDescent="0.3">
      <c r="A118" s="12" t="s">
        <v>303</v>
      </c>
      <c r="B118" s="12" t="s">
        <v>304</v>
      </c>
      <c r="C118" s="12" t="s">
        <v>59</v>
      </c>
      <c r="D118" s="12" t="s">
        <v>40</v>
      </c>
      <c r="E118" s="13">
        <v>45316</v>
      </c>
      <c r="F118" s="13">
        <v>45385</v>
      </c>
      <c r="G118" s="13">
        <v>45383</v>
      </c>
      <c r="H118" s="12" t="s">
        <v>44</v>
      </c>
      <c r="I118" s="12" t="s">
        <v>30</v>
      </c>
      <c r="J118" s="12" t="s">
        <v>90</v>
      </c>
      <c r="K118" s="12" t="s">
        <v>116</v>
      </c>
      <c r="L118" s="12" t="s">
        <v>307</v>
      </c>
      <c r="M118" s="12" t="s">
        <v>30</v>
      </c>
      <c r="N118" s="12" t="s">
        <v>45</v>
      </c>
      <c r="O118" s="12">
        <v>6</v>
      </c>
      <c r="P118" s="14">
        <v>3291</v>
      </c>
      <c r="Q118" s="14">
        <v>2824</v>
      </c>
      <c r="R118" s="15">
        <v>1</v>
      </c>
      <c r="S118">
        <f t="shared" si="5"/>
        <v>69</v>
      </c>
      <c r="T118">
        <f t="shared" si="6"/>
        <v>3291</v>
      </c>
      <c r="U118" t="str">
        <f t="shared" si="7"/>
        <v>No</v>
      </c>
      <c r="V118">
        <f t="shared" si="8"/>
        <v>0</v>
      </c>
      <c r="W118" t="str">
        <f t="shared" si="9"/>
        <v>Yes</v>
      </c>
    </row>
    <row r="119" spans="1:23" x14ac:dyDescent="0.3">
      <c r="A119" s="5" t="s">
        <v>308</v>
      </c>
      <c r="B119" s="5" t="s">
        <v>309</v>
      </c>
      <c r="C119" s="5" t="s">
        <v>59</v>
      </c>
      <c r="D119" s="5" t="s">
        <v>87</v>
      </c>
      <c r="E119" s="16">
        <v>45317</v>
      </c>
      <c r="F119" s="16">
        <v>45560</v>
      </c>
      <c r="G119" s="16">
        <v>45536</v>
      </c>
      <c r="H119" s="5" t="s">
        <v>69</v>
      </c>
      <c r="I119" s="5" t="s">
        <v>42</v>
      </c>
      <c r="J119" s="5" t="s">
        <v>90</v>
      </c>
      <c r="K119" s="5" t="s">
        <v>112</v>
      </c>
      <c r="L119" s="5" t="s">
        <v>310</v>
      </c>
      <c r="M119" s="5" t="s">
        <v>77</v>
      </c>
      <c r="N119" s="5" t="s">
        <v>66</v>
      </c>
      <c r="O119" s="5">
        <v>21</v>
      </c>
      <c r="P119" s="7">
        <v>4414</v>
      </c>
      <c r="Q119" s="7">
        <v>0</v>
      </c>
      <c r="R119" s="17">
        <v>0.24</v>
      </c>
      <c r="S119">
        <f t="shared" si="5"/>
        <v>243</v>
      </c>
      <c r="T119">
        <f t="shared" si="6"/>
        <v>1059.3599999999999</v>
      </c>
      <c r="U119" t="str">
        <f t="shared" si="7"/>
        <v>No</v>
      </c>
      <c r="V119">
        <f t="shared" si="8"/>
        <v>0</v>
      </c>
      <c r="W119" t="str">
        <f t="shared" si="9"/>
        <v>No</v>
      </c>
    </row>
    <row r="120" spans="1:23" x14ac:dyDescent="0.3">
      <c r="A120" s="12" t="s">
        <v>308</v>
      </c>
      <c r="B120" s="12" t="s">
        <v>309</v>
      </c>
      <c r="C120" s="12" t="s">
        <v>59</v>
      </c>
      <c r="D120" s="12" t="s">
        <v>34</v>
      </c>
      <c r="E120" s="13">
        <v>45317</v>
      </c>
      <c r="F120" s="13">
        <v>45502</v>
      </c>
      <c r="G120" s="13">
        <v>45474</v>
      </c>
      <c r="H120" s="12" t="s">
        <v>60</v>
      </c>
      <c r="I120" s="12" t="s">
        <v>42</v>
      </c>
      <c r="J120" s="12" t="s">
        <v>90</v>
      </c>
      <c r="K120" s="12" t="s">
        <v>114</v>
      </c>
      <c r="L120" s="12" t="s">
        <v>311</v>
      </c>
      <c r="M120" s="12" t="s">
        <v>73</v>
      </c>
      <c r="N120" s="12" t="s">
        <v>66</v>
      </c>
      <c r="O120" s="12">
        <v>21</v>
      </c>
      <c r="P120" s="14">
        <v>9998</v>
      </c>
      <c r="Q120" s="14">
        <v>0</v>
      </c>
      <c r="R120" s="15">
        <v>0.28999999999999998</v>
      </c>
      <c r="S120">
        <f t="shared" si="5"/>
        <v>185</v>
      </c>
      <c r="T120">
        <f t="shared" si="6"/>
        <v>2899.4199999999996</v>
      </c>
      <c r="U120" t="str">
        <f t="shared" si="7"/>
        <v>No</v>
      </c>
      <c r="V120">
        <f t="shared" si="8"/>
        <v>0</v>
      </c>
      <c r="W120" t="str">
        <f t="shared" si="9"/>
        <v>No</v>
      </c>
    </row>
    <row r="121" spans="1:23" x14ac:dyDescent="0.3">
      <c r="A121" s="5" t="s">
        <v>308</v>
      </c>
      <c r="B121" s="5" t="s">
        <v>309</v>
      </c>
      <c r="C121" s="5" t="s">
        <v>59</v>
      </c>
      <c r="D121" s="5" t="s">
        <v>40</v>
      </c>
      <c r="E121" s="16">
        <v>45317</v>
      </c>
      <c r="F121" s="16">
        <v>45518</v>
      </c>
      <c r="G121" s="16">
        <v>45505</v>
      </c>
      <c r="H121" s="5" t="s">
        <v>65</v>
      </c>
      <c r="I121" s="5" t="s">
        <v>42</v>
      </c>
      <c r="J121" s="5" t="s">
        <v>88</v>
      </c>
      <c r="K121" s="5" t="s">
        <v>116</v>
      </c>
      <c r="L121" s="5" t="s">
        <v>312</v>
      </c>
      <c r="M121" s="5" t="s">
        <v>77</v>
      </c>
      <c r="N121" s="5" t="s">
        <v>33</v>
      </c>
      <c r="O121" s="5">
        <v>21</v>
      </c>
      <c r="P121" s="7">
        <v>4869</v>
      </c>
      <c r="Q121" s="7">
        <v>0</v>
      </c>
      <c r="R121" s="17">
        <v>0.54</v>
      </c>
      <c r="S121">
        <f t="shared" si="5"/>
        <v>201</v>
      </c>
      <c r="T121">
        <f t="shared" si="6"/>
        <v>2629.26</v>
      </c>
      <c r="U121" t="str">
        <f t="shared" si="7"/>
        <v>No</v>
      </c>
      <c r="V121">
        <f t="shared" si="8"/>
        <v>0</v>
      </c>
      <c r="W121" t="str">
        <f t="shared" si="9"/>
        <v>No</v>
      </c>
    </row>
    <row r="122" spans="1:23" x14ac:dyDescent="0.3">
      <c r="A122" s="12" t="s">
        <v>313</v>
      </c>
      <c r="B122" s="12" t="s">
        <v>314</v>
      </c>
      <c r="C122" s="12" t="s">
        <v>31</v>
      </c>
      <c r="D122" s="12" t="s">
        <v>46</v>
      </c>
      <c r="E122" s="13">
        <v>45368</v>
      </c>
      <c r="F122" s="13">
        <v>45372</v>
      </c>
      <c r="G122" s="13">
        <v>45352</v>
      </c>
      <c r="H122" s="12" t="s">
        <v>38</v>
      </c>
      <c r="I122" s="12" t="s">
        <v>30</v>
      </c>
      <c r="J122" s="12" t="s">
        <v>88</v>
      </c>
      <c r="K122" s="12" t="s">
        <v>112</v>
      </c>
      <c r="L122" s="12" t="s">
        <v>315</v>
      </c>
      <c r="M122" s="12" t="s">
        <v>30</v>
      </c>
      <c r="N122" s="12" t="s">
        <v>45</v>
      </c>
      <c r="O122" s="12">
        <v>32</v>
      </c>
      <c r="P122" s="14">
        <v>3746</v>
      </c>
      <c r="Q122" s="14">
        <v>3514</v>
      </c>
      <c r="R122" s="15">
        <v>1</v>
      </c>
      <c r="S122">
        <f t="shared" si="5"/>
        <v>4</v>
      </c>
      <c r="T122">
        <f t="shared" si="6"/>
        <v>3746</v>
      </c>
      <c r="U122" t="str">
        <f t="shared" si="7"/>
        <v>No</v>
      </c>
      <c r="V122">
        <f t="shared" si="8"/>
        <v>0</v>
      </c>
      <c r="W122" t="str">
        <f t="shared" si="9"/>
        <v>Yes</v>
      </c>
    </row>
    <row r="123" spans="1:23" x14ac:dyDescent="0.3">
      <c r="A123" s="5" t="s">
        <v>313</v>
      </c>
      <c r="B123" s="5" t="s">
        <v>314</v>
      </c>
      <c r="C123" s="5" t="s">
        <v>31</v>
      </c>
      <c r="D123" s="5" t="s">
        <v>87</v>
      </c>
      <c r="E123" s="16">
        <v>45368</v>
      </c>
      <c r="F123" s="16">
        <v>45372</v>
      </c>
      <c r="G123" s="16">
        <v>45352</v>
      </c>
      <c r="H123" s="5" t="s">
        <v>38</v>
      </c>
      <c r="I123" s="5" t="s">
        <v>30</v>
      </c>
      <c r="J123" s="5" t="s">
        <v>90</v>
      </c>
      <c r="K123" s="5" t="s">
        <v>114</v>
      </c>
      <c r="L123" s="5" t="s">
        <v>316</v>
      </c>
      <c r="M123" s="5" t="s">
        <v>77</v>
      </c>
      <c r="N123" s="5" t="s">
        <v>45</v>
      </c>
      <c r="O123" s="5">
        <v>30</v>
      </c>
      <c r="P123" s="7">
        <v>5413</v>
      </c>
      <c r="Q123" s="7">
        <v>0</v>
      </c>
      <c r="R123" s="17">
        <v>0.93</v>
      </c>
      <c r="S123">
        <f t="shared" si="5"/>
        <v>4</v>
      </c>
      <c r="T123">
        <f t="shared" si="6"/>
        <v>5034.09</v>
      </c>
      <c r="U123" t="str">
        <f t="shared" si="7"/>
        <v>No</v>
      </c>
      <c r="V123">
        <f t="shared" si="8"/>
        <v>0</v>
      </c>
      <c r="W123" t="str">
        <f t="shared" si="9"/>
        <v>No</v>
      </c>
    </row>
    <row r="124" spans="1:23" x14ac:dyDescent="0.3">
      <c r="A124" s="12" t="s">
        <v>313</v>
      </c>
      <c r="B124" s="12" t="s">
        <v>314</v>
      </c>
      <c r="C124" s="12" t="s">
        <v>31</v>
      </c>
      <c r="D124" s="12" t="s">
        <v>67</v>
      </c>
      <c r="E124" s="13">
        <v>45368</v>
      </c>
      <c r="F124" s="13">
        <v>45372</v>
      </c>
      <c r="G124" s="13">
        <v>45352</v>
      </c>
      <c r="H124" s="12" t="s">
        <v>38</v>
      </c>
      <c r="I124" s="12" t="s">
        <v>30</v>
      </c>
      <c r="J124" s="12" t="s">
        <v>90</v>
      </c>
      <c r="K124" s="12" t="s">
        <v>116</v>
      </c>
      <c r="L124" s="12" t="s">
        <v>317</v>
      </c>
      <c r="M124" s="12" t="s">
        <v>73</v>
      </c>
      <c r="N124" s="12" t="s">
        <v>39</v>
      </c>
      <c r="O124" s="12">
        <v>28</v>
      </c>
      <c r="P124" s="14">
        <v>6416</v>
      </c>
      <c r="Q124" s="14">
        <v>0</v>
      </c>
      <c r="R124" s="15">
        <v>0.8</v>
      </c>
      <c r="S124">
        <f t="shared" si="5"/>
        <v>4</v>
      </c>
      <c r="T124">
        <f t="shared" si="6"/>
        <v>5132.8</v>
      </c>
      <c r="U124" t="str">
        <f t="shared" si="7"/>
        <v>No</v>
      </c>
      <c r="V124">
        <f t="shared" si="8"/>
        <v>0</v>
      </c>
      <c r="W124" t="str">
        <f t="shared" si="9"/>
        <v>No</v>
      </c>
    </row>
    <row r="125" spans="1:23" x14ac:dyDescent="0.3">
      <c r="A125" s="5" t="s">
        <v>318</v>
      </c>
      <c r="B125" s="5" t="s">
        <v>319</v>
      </c>
      <c r="C125" s="5" t="s">
        <v>43</v>
      </c>
      <c r="D125" s="5" t="s">
        <v>82</v>
      </c>
      <c r="E125" s="16">
        <v>45322</v>
      </c>
      <c r="F125" s="16">
        <v>45441</v>
      </c>
      <c r="G125" s="16">
        <v>45413</v>
      </c>
      <c r="H125" s="5" t="s">
        <v>50</v>
      </c>
      <c r="I125" s="5" t="s">
        <v>42</v>
      </c>
      <c r="J125" s="5" t="s">
        <v>88</v>
      </c>
      <c r="K125" s="5" t="s">
        <v>112</v>
      </c>
      <c r="L125" s="5" t="s">
        <v>320</v>
      </c>
      <c r="M125" s="5" t="s">
        <v>73</v>
      </c>
      <c r="N125" s="5" t="s">
        <v>70</v>
      </c>
      <c r="O125" s="5">
        <v>32</v>
      </c>
      <c r="P125" s="7">
        <v>5512</v>
      </c>
      <c r="Q125" s="7">
        <v>0</v>
      </c>
      <c r="R125" s="17">
        <v>0.05</v>
      </c>
      <c r="S125">
        <f t="shared" si="5"/>
        <v>119</v>
      </c>
      <c r="T125">
        <f t="shared" si="6"/>
        <v>275.60000000000002</v>
      </c>
      <c r="U125" t="str">
        <f t="shared" si="7"/>
        <v>No</v>
      </c>
      <c r="V125">
        <f t="shared" si="8"/>
        <v>0</v>
      </c>
      <c r="W125" t="str">
        <f t="shared" si="9"/>
        <v>No</v>
      </c>
    </row>
    <row r="126" spans="1:23" x14ac:dyDescent="0.3">
      <c r="A126" s="12" t="s">
        <v>318</v>
      </c>
      <c r="B126" s="12" t="s">
        <v>319</v>
      </c>
      <c r="C126" s="12" t="s">
        <v>43</v>
      </c>
      <c r="D126" s="12" t="s">
        <v>79</v>
      </c>
      <c r="E126" s="13">
        <v>45322</v>
      </c>
      <c r="F126" s="13">
        <v>45503</v>
      </c>
      <c r="G126" s="13">
        <v>45474</v>
      </c>
      <c r="H126" s="12" t="s">
        <v>60</v>
      </c>
      <c r="I126" s="12" t="s">
        <v>42</v>
      </c>
      <c r="J126" s="12" t="s">
        <v>88</v>
      </c>
      <c r="K126" s="12" t="s">
        <v>114</v>
      </c>
      <c r="L126" s="12" t="s">
        <v>321</v>
      </c>
      <c r="M126" s="12" t="s">
        <v>77</v>
      </c>
      <c r="N126" s="12" t="s">
        <v>61</v>
      </c>
      <c r="O126" s="12">
        <v>7</v>
      </c>
      <c r="P126" s="14">
        <v>6632</v>
      </c>
      <c r="Q126" s="14">
        <v>0</v>
      </c>
      <c r="R126" s="15">
        <v>0.36</v>
      </c>
      <c r="S126">
        <f t="shared" si="5"/>
        <v>181</v>
      </c>
      <c r="T126">
        <f t="shared" si="6"/>
        <v>2387.52</v>
      </c>
      <c r="U126" t="str">
        <f t="shared" si="7"/>
        <v>No</v>
      </c>
      <c r="V126">
        <f t="shared" si="8"/>
        <v>0</v>
      </c>
      <c r="W126" t="str">
        <f t="shared" si="9"/>
        <v>No</v>
      </c>
    </row>
    <row r="127" spans="1:23" x14ac:dyDescent="0.3">
      <c r="A127" s="5" t="s">
        <v>318</v>
      </c>
      <c r="B127" s="5" t="s">
        <v>319</v>
      </c>
      <c r="C127" s="5" t="s">
        <v>43</v>
      </c>
      <c r="D127" s="5" t="s">
        <v>75</v>
      </c>
      <c r="E127" s="16">
        <v>45322</v>
      </c>
      <c r="F127" s="16">
        <v>45506</v>
      </c>
      <c r="G127" s="16">
        <v>45505</v>
      </c>
      <c r="H127" s="5" t="s">
        <v>65</v>
      </c>
      <c r="I127" s="5" t="s">
        <v>42</v>
      </c>
      <c r="J127" s="5" t="s">
        <v>90</v>
      </c>
      <c r="K127" s="5" t="s">
        <v>116</v>
      </c>
      <c r="L127" s="5" t="s">
        <v>322</v>
      </c>
      <c r="M127" s="5" t="s">
        <v>77</v>
      </c>
      <c r="N127" s="5" t="s">
        <v>39</v>
      </c>
      <c r="O127" s="5">
        <v>29</v>
      </c>
      <c r="P127" s="7">
        <v>3321</v>
      </c>
      <c r="Q127" s="7">
        <v>0</v>
      </c>
      <c r="R127" s="17">
        <v>0.66</v>
      </c>
      <c r="S127">
        <f t="shared" si="5"/>
        <v>184</v>
      </c>
      <c r="T127">
        <f t="shared" si="6"/>
        <v>2191.86</v>
      </c>
      <c r="U127" t="str">
        <f t="shared" si="7"/>
        <v>No</v>
      </c>
      <c r="V127">
        <f t="shared" si="8"/>
        <v>0</v>
      </c>
      <c r="W127" t="str">
        <f t="shared" si="9"/>
        <v>No</v>
      </c>
    </row>
    <row r="128" spans="1:23" x14ac:dyDescent="0.3">
      <c r="A128" s="12" t="s">
        <v>323</v>
      </c>
      <c r="B128" s="12" t="s">
        <v>324</v>
      </c>
      <c r="C128" s="12" t="s">
        <v>59</v>
      </c>
      <c r="D128" s="12" t="s">
        <v>79</v>
      </c>
      <c r="E128" s="13">
        <v>45413</v>
      </c>
      <c r="F128" s="13">
        <v>45445</v>
      </c>
      <c r="G128" s="13">
        <v>45444</v>
      </c>
      <c r="H128" s="12" t="s">
        <v>55</v>
      </c>
      <c r="I128" s="12" t="s">
        <v>36</v>
      </c>
      <c r="J128" s="12" t="s">
        <v>88</v>
      </c>
      <c r="K128" s="12" t="s">
        <v>112</v>
      </c>
      <c r="L128" s="12" t="s">
        <v>325</v>
      </c>
      <c r="M128" s="12" t="s">
        <v>73</v>
      </c>
      <c r="N128" s="12" t="s">
        <v>39</v>
      </c>
      <c r="O128" s="12">
        <v>35</v>
      </c>
      <c r="P128" s="14">
        <v>9960</v>
      </c>
      <c r="Q128" s="14">
        <v>0</v>
      </c>
      <c r="R128" s="15">
        <v>0.28000000000000003</v>
      </c>
      <c r="S128">
        <f t="shared" si="5"/>
        <v>32</v>
      </c>
      <c r="T128">
        <f t="shared" si="6"/>
        <v>2788.8</v>
      </c>
      <c r="U128" t="str">
        <f t="shared" si="7"/>
        <v>No</v>
      </c>
      <c r="V128">
        <f t="shared" si="8"/>
        <v>0</v>
      </c>
      <c r="W128" t="str">
        <f t="shared" si="9"/>
        <v>No</v>
      </c>
    </row>
    <row r="129" spans="1:23" x14ac:dyDescent="0.3">
      <c r="A129" s="5" t="s">
        <v>323</v>
      </c>
      <c r="B129" s="5" t="s">
        <v>324</v>
      </c>
      <c r="C129" s="5" t="s">
        <v>59</v>
      </c>
      <c r="D129" s="5" t="s">
        <v>34</v>
      </c>
      <c r="E129" s="16">
        <v>45413</v>
      </c>
      <c r="F129" s="16">
        <v>45424</v>
      </c>
      <c r="G129" s="16">
        <v>45413</v>
      </c>
      <c r="H129" s="5" t="s">
        <v>50</v>
      </c>
      <c r="I129" s="5" t="s">
        <v>36</v>
      </c>
      <c r="J129" s="5" t="s">
        <v>88</v>
      </c>
      <c r="K129" s="5" t="s">
        <v>114</v>
      </c>
      <c r="L129" s="5" t="s">
        <v>326</v>
      </c>
      <c r="M129" s="5" t="s">
        <v>30</v>
      </c>
      <c r="N129" s="5" t="s">
        <v>61</v>
      </c>
      <c r="O129" s="5">
        <v>6</v>
      </c>
      <c r="P129" s="7">
        <v>7019</v>
      </c>
      <c r="Q129" s="7">
        <v>6569</v>
      </c>
      <c r="R129" s="17">
        <v>1</v>
      </c>
      <c r="S129">
        <f t="shared" si="5"/>
        <v>11</v>
      </c>
      <c r="T129">
        <f t="shared" si="6"/>
        <v>7019</v>
      </c>
      <c r="U129" t="str">
        <f t="shared" si="7"/>
        <v>No</v>
      </c>
      <c r="V129">
        <f t="shared" si="8"/>
        <v>0</v>
      </c>
      <c r="W129" t="str">
        <f t="shared" si="9"/>
        <v>Yes</v>
      </c>
    </row>
    <row r="130" spans="1:23" x14ac:dyDescent="0.3">
      <c r="A130" s="12" t="s">
        <v>323</v>
      </c>
      <c r="B130" s="12" t="s">
        <v>324</v>
      </c>
      <c r="C130" s="12" t="s">
        <v>59</v>
      </c>
      <c r="D130" s="12" t="s">
        <v>82</v>
      </c>
      <c r="E130" s="13">
        <v>45413</v>
      </c>
      <c r="F130" s="13">
        <v>45466</v>
      </c>
      <c r="G130" s="13">
        <v>45444</v>
      </c>
      <c r="H130" s="12" t="s">
        <v>55</v>
      </c>
      <c r="I130" s="12" t="s">
        <v>36</v>
      </c>
      <c r="J130" s="12" t="s">
        <v>88</v>
      </c>
      <c r="K130" s="12" t="s">
        <v>116</v>
      </c>
      <c r="L130" s="12" t="s">
        <v>327</v>
      </c>
      <c r="M130" s="12" t="s">
        <v>30</v>
      </c>
      <c r="N130" s="12" t="s">
        <v>66</v>
      </c>
      <c r="O130" s="12">
        <v>19</v>
      </c>
      <c r="P130" s="14">
        <v>2549</v>
      </c>
      <c r="Q130" s="14">
        <v>2168</v>
      </c>
      <c r="R130" s="15">
        <v>1</v>
      </c>
      <c r="S130">
        <f t="shared" si="5"/>
        <v>53</v>
      </c>
      <c r="T130">
        <f t="shared" si="6"/>
        <v>2549</v>
      </c>
      <c r="U130" t="str">
        <f t="shared" si="7"/>
        <v>No</v>
      </c>
      <c r="V130">
        <f t="shared" si="8"/>
        <v>0</v>
      </c>
      <c r="W130" t="str">
        <f t="shared" si="9"/>
        <v>Yes</v>
      </c>
    </row>
    <row r="131" spans="1:23" x14ac:dyDescent="0.3">
      <c r="A131" s="5" t="s">
        <v>328</v>
      </c>
      <c r="B131" s="5" t="s">
        <v>329</v>
      </c>
      <c r="C131" s="5" t="s">
        <v>31</v>
      </c>
      <c r="D131" s="5" t="s">
        <v>67</v>
      </c>
      <c r="E131" s="16">
        <v>45416</v>
      </c>
      <c r="F131" s="16">
        <v>45503</v>
      </c>
      <c r="G131" s="16">
        <v>45474</v>
      </c>
      <c r="H131" s="5" t="s">
        <v>60</v>
      </c>
      <c r="I131" s="5" t="s">
        <v>42</v>
      </c>
      <c r="J131" s="5" t="s">
        <v>88</v>
      </c>
      <c r="K131" s="5" t="s">
        <v>112</v>
      </c>
      <c r="L131" s="5" t="s">
        <v>330</v>
      </c>
      <c r="M131" s="5" t="s">
        <v>77</v>
      </c>
      <c r="N131" s="5" t="s">
        <v>51</v>
      </c>
      <c r="O131" s="5">
        <v>34</v>
      </c>
      <c r="P131" s="7">
        <v>4587</v>
      </c>
      <c r="Q131" s="7">
        <v>0</v>
      </c>
      <c r="R131" s="17">
        <v>0.54</v>
      </c>
      <c r="S131">
        <f t="shared" ref="S131:S194" si="10">F131-E131</f>
        <v>87</v>
      </c>
      <c r="T131">
        <f t="shared" ref="T131:T194" si="11">R131*P131</f>
        <v>2476.98</v>
      </c>
      <c r="U131" t="str">
        <f t="shared" ref="U131:U194" si="12">IF(AND(Q131&gt;0,Q131&gt;P131),"Yes","No")</f>
        <v>No</v>
      </c>
      <c r="V131">
        <f t="shared" ref="V131:V194" si="13">IF(U131="Yes",Q131-P131,0)</f>
        <v>0</v>
      </c>
      <c r="W131" t="str">
        <f t="shared" ref="W131:W194" si="14">IF(Q131&gt;0,"Yes","No")</f>
        <v>No</v>
      </c>
    </row>
    <row r="132" spans="1:23" x14ac:dyDescent="0.3">
      <c r="A132" s="12" t="s">
        <v>328</v>
      </c>
      <c r="B132" s="12" t="s">
        <v>329</v>
      </c>
      <c r="C132" s="12" t="s">
        <v>31</v>
      </c>
      <c r="D132" s="12" t="s">
        <v>75</v>
      </c>
      <c r="E132" s="13">
        <v>45416</v>
      </c>
      <c r="F132" s="13">
        <v>45553</v>
      </c>
      <c r="G132" s="13">
        <v>45536</v>
      </c>
      <c r="H132" s="12" t="s">
        <v>69</v>
      </c>
      <c r="I132" s="12" t="s">
        <v>42</v>
      </c>
      <c r="J132" s="12" t="s">
        <v>92</v>
      </c>
      <c r="K132" s="12" t="s">
        <v>114</v>
      </c>
      <c r="L132" s="12" t="s">
        <v>331</v>
      </c>
      <c r="M132" s="12" t="s">
        <v>30</v>
      </c>
      <c r="N132" s="12" t="s">
        <v>33</v>
      </c>
      <c r="O132" s="12">
        <v>8</v>
      </c>
      <c r="P132" s="14">
        <v>4629</v>
      </c>
      <c r="Q132" s="14">
        <v>4482</v>
      </c>
      <c r="R132" s="15">
        <v>1</v>
      </c>
      <c r="S132">
        <f t="shared" si="10"/>
        <v>137</v>
      </c>
      <c r="T132">
        <f t="shared" si="11"/>
        <v>4629</v>
      </c>
      <c r="U132" t="str">
        <f t="shared" si="12"/>
        <v>No</v>
      </c>
      <c r="V132">
        <f t="shared" si="13"/>
        <v>0</v>
      </c>
      <c r="W132" t="str">
        <f t="shared" si="14"/>
        <v>Yes</v>
      </c>
    </row>
    <row r="133" spans="1:23" x14ac:dyDescent="0.3">
      <c r="A133" s="5" t="s">
        <v>328</v>
      </c>
      <c r="B133" s="5" t="s">
        <v>329</v>
      </c>
      <c r="C133" s="5" t="s">
        <v>31</v>
      </c>
      <c r="D133" s="5" t="s">
        <v>84</v>
      </c>
      <c r="E133" s="16">
        <v>45416</v>
      </c>
      <c r="F133" s="16">
        <v>45549</v>
      </c>
      <c r="G133" s="16">
        <v>45536</v>
      </c>
      <c r="H133" s="5" t="s">
        <v>69</v>
      </c>
      <c r="I133" s="5" t="s">
        <v>42</v>
      </c>
      <c r="J133" s="5" t="s">
        <v>88</v>
      </c>
      <c r="K133" s="5" t="s">
        <v>116</v>
      </c>
      <c r="L133" s="5" t="s">
        <v>332</v>
      </c>
      <c r="M133" s="5" t="s">
        <v>73</v>
      </c>
      <c r="N133" s="5" t="s">
        <v>33</v>
      </c>
      <c r="O133" s="5">
        <v>30</v>
      </c>
      <c r="P133" s="7">
        <v>4113</v>
      </c>
      <c r="Q133" s="7">
        <v>0</v>
      </c>
      <c r="R133" s="17">
        <v>0.06</v>
      </c>
      <c r="S133">
        <f t="shared" si="10"/>
        <v>133</v>
      </c>
      <c r="T133">
        <f t="shared" si="11"/>
        <v>246.78</v>
      </c>
      <c r="U133" t="str">
        <f t="shared" si="12"/>
        <v>No</v>
      </c>
      <c r="V133">
        <f t="shared" si="13"/>
        <v>0</v>
      </c>
      <c r="W133" t="str">
        <f t="shared" si="14"/>
        <v>No</v>
      </c>
    </row>
    <row r="134" spans="1:23" x14ac:dyDescent="0.3">
      <c r="A134" s="12" t="s">
        <v>333</v>
      </c>
      <c r="B134" s="12" t="s">
        <v>334</v>
      </c>
      <c r="C134" s="12" t="s">
        <v>59</v>
      </c>
      <c r="D134" s="12" t="s">
        <v>62</v>
      </c>
      <c r="E134" s="13">
        <v>45602</v>
      </c>
      <c r="F134" s="13">
        <v>45487</v>
      </c>
      <c r="G134" s="13">
        <v>45474</v>
      </c>
      <c r="H134" s="12" t="s">
        <v>60</v>
      </c>
      <c r="I134" s="12" t="s">
        <v>30</v>
      </c>
      <c r="J134" s="12" t="s">
        <v>90</v>
      </c>
      <c r="K134" s="12" t="s">
        <v>112</v>
      </c>
      <c r="L134" s="12" t="s">
        <v>335</v>
      </c>
      <c r="M134" s="12" t="s">
        <v>30</v>
      </c>
      <c r="N134" s="12" t="s">
        <v>56</v>
      </c>
      <c r="O134" s="12">
        <v>25</v>
      </c>
      <c r="P134" s="14">
        <v>3423</v>
      </c>
      <c r="Q134" s="14">
        <v>3361</v>
      </c>
      <c r="R134" s="15">
        <v>1</v>
      </c>
      <c r="S134">
        <f t="shared" si="10"/>
        <v>-115</v>
      </c>
      <c r="T134">
        <f t="shared" si="11"/>
        <v>3423</v>
      </c>
      <c r="U134" t="str">
        <f t="shared" si="12"/>
        <v>No</v>
      </c>
      <c r="V134">
        <f t="shared" si="13"/>
        <v>0</v>
      </c>
      <c r="W134" t="str">
        <f t="shared" si="14"/>
        <v>Yes</v>
      </c>
    </row>
    <row r="135" spans="1:23" x14ac:dyDescent="0.3">
      <c r="A135" s="5" t="s">
        <v>333</v>
      </c>
      <c r="B135" s="5" t="s">
        <v>334</v>
      </c>
      <c r="C135" s="5" t="s">
        <v>59</v>
      </c>
      <c r="D135" s="5" t="s">
        <v>57</v>
      </c>
      <c r="E135" s="16">
        <v>45602</v>
      </c>
      <c r="F135" s="16">
        <v>45713</v>
      </c>
      <c r="G135" s="16">
        <v>45689</v>
      </c>
      <c r="H135" s="5" t="s">
        <v>86</v>
      </c>
      <c r="I135" s="5" t="s">
        <v>30</v>
      </c>
      <c r="J135" s="5" t="s">
        <v>88</v>
      </c>
      <c r="K135" s="5" t="s">
        <v>114</v>
      </c>
      <c r="L135" s="5" t="s">
        <v>336</v>
      </c>
      <c r="M135" s="5" t="s">
        <v>73</v>
      </c>
      <c r="N135" s="5" t="s">
        <v>33</v>
      </c>
      <c r="O135" s="5">
        <v>39</v>
      </c>
      <c r="P135" s="7">
        <v>2297</v>
      </c>
      <c r="Q135" s="7">
        <v>0</v>
      </c>
      <c r="R135" s="17">
        <v>0.55000000000000004</v>
      </c>
      <c r="S135">
        <f t="shared" si="10"/>
        <v>111</v>
      </c>
      <c r="T135">
        <f t="shared" si="11"/>
        <v>1263.3500000000001</v>
      </c>
      <c r="U135" t="str">
        <f t="shared" si="12"/>
        <v>No</v>
      </c>
      <c r="V135">
        <f t="shared" si="13"/>
        <v>0</v>
      </c>
      <c r="W135" t="str">
        <f t="shared" si="14"/>
        <v>No</v>
      </c>
    </row>
    <row r="136" spans="1:23" x14ac:dyDescent="0.3">
      <c r="A136" s="12" t="s">
        <v>333</v>
      </c>
      <c r="B136" s="12" t="s">
        <v>334</v>
      </c>
      <c r="C136" s="12" t="s">
        <v>59</v>
      </c>
      <c r="D136" s="12" t="s">
        <v>34</v>
      </c>
      <c r="E136" s="13">
        <v>45602</v>
      </c>
      <c r="F136" s="13">
        <v>45487</v>
      </c>
      <c r="G136" s="13">
        <v>45474</v>
      </c>
      <c r="H136" s="12" t="s">
        <v>60</v>
      </c>
      <c r="I136" s="12" t="s">
        <v>30</v>
      </c>
      <c r="J136" s="12" t="s">
        <v>92</v>
      </c>
      <c r="K136" s="12" t="s">
        <v>116</v>
      </c>
      <c r="L136" s="12" t="s">
        <v>337</v>
      </c>
      <c r="M136" s="12" t="s">
        <v>30</v>
      </c>
      <c r="N136" s="12" t="s">
        <v>61</v>
      </c>
      <c r="O136" s="12">
        <v>39</v>
      </c>
      <c r="P136" s="14">
        <v>2868</v>
      </c>
      <c r="Q136" s="14">
        <v>2425</v>
      </c>
      <c r="R136" s="15">
        <v>1</v>
      </c>
      <c r="S136">
        <f t="shared" si="10"/>
        <v>-115</v>
      </c>
      <c r="T136">
        <f t="shared" si="11"/>
        <v>2868</v>
      </c>
      <c r="U136" t="str">
        <f t="shared" si="12"/>
        <v>No</v>
      </c>
      <c r="V136">
        <f t="shared" si="13"/>
        <v>0</v>
      </c>
      <c r="W136" t="str">
        <f t="shared" si="14"/>
        <v>Yes</v>
      </c>
    </row>
    <row r="137" spans="1:23" x14ac:dyDescent="0.3">
      <c r="A137" s="5" t="s">
        <v>338</v>
      </c>
      <c r="B137" s="5" t="s">
        <v>339</v>
      </c>
      <c r="C137" s="5" t="s">
        <v>31</v>
      </c>
      <c r="D137" s="5" t="s">
        <v>79</v>
      </c>
      <c r="E137" s="16">
        <v>45456</v>
      </c>
      <c r="F137" s="16">
        <v>45459</v>
      </c>
      <c r="G137" s="16">
        <v>45444</v>
      </c>
      <c r="H137" s="5" t="s">
        <v>55</v>
      </c>
      <c r="I137" s="5" t="s">
        <v>30</v>
      </c>
      <c r="J137" s="5" t="s">
        <v>88</v>
      </c>
      <c r="K137" s="5" t="s">
        <v>112</v>
      </c>
      <c r="L137" s="5" t="s">
        <v>340</v>
      </c>
      <c r="M137" s="5" t="s">
        <v>73</v>
      </c>
      <c r="N137" s="5" t="s">
        <v>61</v>
      </c>
      <c r="O137" s="5">
        <v>39</v>
      </c>
      <c r="P137" s="7">
        <v>1771</v>
      </c>
      <c r="Q137" s="7">
        <v>0</v>
      </c>
      <c r="R137" s="17">
        <v>0.51</v>
      </c>
      <c r="S137">
        <f t="shared" si="10"/>
        <v>3</v>
      </c>
      <c r="T137">
        <f t="shared" si="11"/>
        <v>903.21</v>
      </c>
      <c r="U137" t="str">
        <f t="shared" si="12"/>
        <v>No</v>
      </c>
      <c r="V137">
        <f t="shared" si="13"/>
        <v>0</v>
      </c>
      <c r="W137" t="str">
        <f t="shared" si="14"/>
        <v>No</v>
      </c>
    </row>
    <row r="138" spans="1:23" x14ac:dyDescent="0.3">
      <c r="A138" s="12" t="s">
        <v>338</v>
      </c>
      <c r="B138" s="12" t="s">
        <v>339</v>
      </c>
      <c r="C138" s="12" t="s">
        <v>31</v>
      </c>
      <c r="D138" s="12" t="s">
        <v>82</v>
      </c>
      <c r="E138" s="13">
        <v>45456</v>
      </c>
      <c r="F138" s="13">
        <v>45459</v>
      </c>
      <c r="G138" s="13">
        <v>45444</v>
      </c>
      <c r="H138" s="12" t="s">
        <v>55</v>
      </c>
      <c r="I138" s="12" t="s">
        <v>30</v>
      </c>
      <c r="J138" s="12" t="s">
        <v>90</v>
      </c>
      <c r="K138" s="12" t="s">
        <v>114</v>
      </c>
      <c r="L138" s="12" t="s">
        <v>341</v>
      </c>
      <c r="M138" s="12" t="s">
        <v>77</v>
      </c>
      <c r="N138" s="12" t="s">
        <v>45</v>
      </c>
      <c r="O138" s="12">
        <v>25</v>
      </c>
      <c r="P138" s="14">
        <v>1781</v>
      </c>
      <c r="Q138" s="14">
        <v>0</v>
      </c>
      <c r="R138" s="15">
        <v>0.43</v>
      </c>
      <c r="S138">
        <f t="shared" si="10"/>
        <v>3</v>
      </c>
      <c r="T138">
        <f t="shared" si="11"/>
        <v>765.83</v>
      </c>
      <c r="U138" t="str">
        <f t="shared" si="12"/>
        <v>No</v>
      </c>
      <c r="V138">
        <f t="shared" si="13"/>
        <v>0</v>
      </c>
      <c r="W138" t="str">
        <f t="shared" si="14"/>
        <v>No</v>
      </c>
    </row>
    <row r="139" spans="1:23" x14ac:dyDescent="0.3">
      <c r="A139" s="5" t="s">
        <v>338</v>
      </c>
      <c r="B139" s="5" t="s">
        <v>339</v>
      </c>
      <c r="C139" s="5" t="s">
        <v>31</v>
      </c>
      <c r="D139" s="5" t="s">
        <v>87</v>
      </c>
      <c r="E139" s="16">
        <v>45456</v>
      </c>
      <c r="F139" s="16">
        <v>45461</v>
      </c>
      <c r="G139" s="16">
        <v>45444</v>
      </c>
      <c r="H139" s="5" t="s">
        <v>55</v>
      </c>
      <c r="I139" s="5" t="s">
        <v>30</v>
      </c>
      <c r="J139" s="5" t="s">
        <v>88</v>
      </c>
      <c r="K139" s="5" t="s">
        <v>116</v>
      </c>
      <c r="L139" s="5" t="s">
        <v>342</v>
      </c>
      <c r="M139" s="5" t="s">
        <v>73</v>
      </c>
      <c r="N139" s="5" t="s">
        <v>45</v>
      </c>
      <c r="O139" s="5">
        <v>11</v>
      </c>
      <c r="P139" s="7">
        <v>7012</v>
      </c>
      <c r="Q139" s="7">
        <v>0</v>
      </c>
      <c r="R139" s="17">
        <v>0.18</v>
      </c>
      <c r="S139">
        <f t="shared" si="10"/>
        <v>5</v>
      </c>
      <c r="T139">
        <f t="shared" si="11"/>
        <v>1262.1599999999999</v>
      </c>
      <c r="U139" t="str">
        <f t="shared" si="12"/>
        <v>No</v>
      </c>
      <c r="V139">
        <f t="shared" si="13"/>
        <v>0</v>
      </c>
      <c r="W139" t="str">
        <f t="shared" si="14"/>
        <v>No</v>
      </c>
    </row>
    <row r="140" spans="1:23" x14ac:dyDescent="0.3">
      <c r="A140" s="12" t="s">
        <v>343</v>
      </c>
      <c r="B140" s="12" t="s">
        <v>344</v>
      </c>
      <c r="C140" s="12" t="s">
        <v>37</v>
      </c>
      <c r="D140" s="12" t="s">
        <v>87</v>
      </c>
      <c r="E140" s="13">
        <v>45470</v>
      </c>
      <c r="F140" s="13">
        <v>45503</v>
      </c>
      <c r="G140" s="13">
        <v>45474</v>
      </c>
      <c r="H140" s="12" t="s">
        <v>60</v>
      </c>
      <c r="I140" s="12" t="s">
        <v>48</v>
      </c>
      <c r="J140" s="12" t="s">
        <v>88</v>
      </c>
      <c r="K140" s="12" t="s">
        <v>112</v>
      </c>
      <c r="L140" s="12" t="s">
        <v>345</v>
      </c>
      <c r="M140" s="12" t="s">
        <v>30</v>
      </c>
      <c r="N140" s="12" t="s">
        <v>45</v>
      </c>
      <c r="O140" s="12">
        <v>36</v>
      </c>
      <c r="P140" s="14">
        <v>2554</v>
      </c>
      <c r="Q140" s="14">
        <v>2262</v>
      </c>
      <c r="R140" s="15">
        <v>1</v>
      </c>
      <c r="S140">
        <f t="shared" si="10"/>
        <v>33</v>
      </c>
      <c r="T140">
        <f t="shared" si="11"/>
        <v>2554</v>
      </c>
      <c r="U140" t="str">
        <f t="shared" si="12"/>
        <v>No</v>
      </c>
      <c r="V140">
        <f t="shared" si="13"/>
        <v>0</v>
      </c>
      <c r="W140" t="str">
        <f t="shared" si="14"/>
        <v>Yes</v>
      </c>
    </row>
    <row r="141" spans="1:23" x14ac:dyDescent="0.3">
      <c r="A141" s="5" t="s">
        <v>343</v>
      </c>
      <c r="B141" s="5" t="s">
        <v>344</v>
      </c>
      <c r="C141" s="5" t="s">
        <v>37</v>
      </c>
      <c r="D141" s="5" t="s">
        <v>52</v>
      </c>
      <c r="E141" s="16">
        <v>45470</v>
      </c>
      <c r="F141" s="16">
        <v>45666</v>
      </c>
      <c r="G141" s="16">
        <v>45658</v>
      </c>
      <c r="H141" s="5" t="s">
        <v>83</v>
      </c>
      <c r="I141" s="5" t="s">
        <v>48</v>
      </c>
      <c r="J141" s="5" t="s">
        <v>88</v>
      </c>
      <c r="K141" s="5" t="s">
        <v>114</v>
      </c>
      <c r="L141" s="5" t="s">
        <v>346</v>
      </c>
      <c r="M141" s="5" t="s">
        <v>73</v>
      </c>
      <c r="N141" s="5" t="s">
        <v>33</v>
      </c>
      <c r="O141" s="5">
        <v>24</v>
      </c>
      <c r="P141" s="7">
        <v>8357</v>
      </c>
      <c r="Q141" s="7">
        <v>0</v>
      </c>
      <c r="R141" s="17">
        <v>0.68</v>
      </c>
      <c r="S141">
        <f t="shared" si="10"/>
        <v>196</v>
      </c>
      <c r="T141">
        <f t="shared" si="11"/>
        <v>5682.76</v>
      </c>
      <c r="U141" t="str">
        <f t="shared" si="12"/>
        <v>No</v>
      </c>
      <c r="V141">
        <f t="shared" si="13"/>
        <v>0</v>
      </c>
      <c r="W141" t="str">
        <f t="shared" si="14"/>
        <v>No</v>
      </c>
    </row>
    <row r="142" spans="1:23" x14ac:dyDescent="0.3">
      <c r="A142" s="12" t="s">
        <v>343</v>
      </c>
      <c r="B142" s="12" t="s">
        <v>344</v>
      </c>
      <c r="C142" s="12" t="s">
        <v>37</v>
      </c>
      <c r="D142" s="12" t="s">
        <v>46</v>
      </c>
      <c r="E142" s="13">
        <v>45470</v>
      </c>
      <c r="F142" s="13">
        <v>45560</v>
      </c>
      <c r="G142" s="13">
        <v>45536</v>
      </c>
      <c r="H142" s="12" t="s">
        <v>69</v>
      </c>
      <c r="I142" s="12" t="s">
        <v>48</v>
      </c>
      <c r="J142" s="12" t="s">
        <v>88</v>
      </c>
      <c r="K142" s="12" t="s">
        <v>116</v>
      </c>
      <c r="L142" s="12" t="s">
        <v>347</v>
      </c>
      <c r="M142" s="12" t="s">
        <v>30</v>
      </c>
      <c r="N142" s="12" t="s">
        <v>66</v>
      </c>
      <c r="O142" s="12">
        <v>18</v>
      </c>
      <c r="P142" s="14">
        <v>9034</v>
      </c>
      <c r="Q142" s="14">
        <v>8655</v>
      </c>
      <c r="R142" s="15">
        <v>1</v>
      </c>
      <c r="S142">
        <f t="shared" si="10"/>
        <v>90</v>
      </c>
      <c r="T142">
        <f t="shared" si="11"/>
        <v>9034</v>
      </c>
      <c r="U142" t="str">
        <f t="shared" si="12"/>
        <v>No</v>
      </c>
      <c r="V142">
        <f t="shared" si="13"/>
        <v>0</v>
      </c>
      <c r="W142" t="str">
        <f t="shared" si="14"/>
        <v>Yes</v>
      </c>
    </row>
    <row r="143" spans="1:23" x14ac:dyDescent="0.3">
      <c r="A143" s="5" t="s">
        <v>348</v>
      </c>
      <c r="B143" s="5" t="s">
        <v>349</v>
      </c>
      <c r="C143" s="5" t="s">
        <v>43</v>
      </c>
      <c r="D143" s="5" t="s">
        <v>87</v>
      </c>
      <c r="E143" s="16">
        <v>45541</v>
      </c>
      <c r="F143" s="16">
        <v>45641</v>
      </c>
      <c r="G143" s="16">
        <v>45627</v>
      </c>
      <c r="H143" s="5" t="s">
        <v>81</v>
      </c>
      <c r="I143" s="5" t="s">
        <v>30</v>
      </c>
      <c r="J143" s="5" t="s">
        <v>88</v>
      </c>
      <c r="K143" s="5" t="s">
        <v>112</v>
      </c>
      <c r="L143" s="5" t="s">
        <v>350</v>
      </c>
      <c r="M143" s="5" t="s">
        <v>73</v>
      </c>
      <c r="N143" s="5" t="s">
        <v>66</v>
      </c>
      <c r="O143" s="5">
        <v>35</v>
      </c>
      <c r="P143" s="7">
        <v>5180</v>
      </c>
      <c r="Q143" s="7">
        <v>0</v>
      </c>
      <c r="R143" s="17">
        <v>0.49</v>
      </c>
      <c r="S143">
        <f t="shared" si="10"/>
        <v>100</v>
      </c>
      <c r="T143">
        <f t="shared" si="11"/>
        <v>2538.1999999999998</v>
      </c>
      <c r="U143" t="str">
        <f t="shared" si="12"/>
        <v>No</v>
      </c>
      <c r="V143">
        <f t="shared" si="13"/>
        <v>0</v>
      </c>
      <c r="W143" t="str">
        <f t="shared" si="14"/>
        <v>No</v>
      </c>
    </row>
    <row r="144" spans="1:23" x14ac:dyDescent="0.3">
      <c r="A144" s="12" t="s">
        <v>348</v>
      </c>
      <c r="B144" s="12" t="s">
        <v>349</v>
      </c>
      <c r="C144" s="12" t="s">
        <v>43</v>
      </c>
      <c r="D144" s="12" t="s">
        <v>34</v>
      </c>
      <c r="E144" s="13">
        <v>45541</v>
      </c>
      <c r="F144" s="13">
        <v>45596</v>
      </c>
      <c r="G144" s="13">
        <v>45566</v>
      </c>
      <c r="H144" s="12" t="s">
        <v>74</v>
      </c>
      <c r="I144" s="12" t="s">
        <v>30</v>
      </c>
      <c r="J144" s="12" t="s">
        <v>92</v>
      </c>
      <c r="K144" s="12" t="s">
        <v>114</v>
      </c>
      <c r="L144" s="12" t="s">
        <v>351</v>
      </c>
      <c r="M144" s="12" t="s">
        <v>77</v>
      </c>
      <c r="N144" s="12" t="s">
        <v>51</v>
      </c>
      <c r="O144" s="12">
        <v>14</v>
      </c>
      <c r="P144" s="14">
        <v>5368</v>
      </c>
      <c r="Q144" s="14">
        <v>0</v>
      </c>
      <c r="R144" s="15">
        <v>0.96</v>
      </c>
      <c r="S144">
        <f t="shared" si="10"/>
        <v>55</v>
      </c>
      <c r="T144">
        <f t="shared" si="11"/>
        <v>5153.28</v>
      </c>
      <c r="U144" t="str">
        <f t="shared" si="12"/>
        <v>No</v>
      </c>
      <c r="V144">
        <f t="shared" si="13"/>
        <v>0</v>
      </c>
      <c r="W144" t="str">
        <f t="shared" si="14"/>
        <v>No</v>
      </c>
    </row>
    <row r="145" spans="1:23" x14ac:dyDescent="0.3">
      <c r="A145" s="5" t="s">
        <v>348</v>
      </c>
      <c r="B145" s="5" t="s">
        <v>349</v>
      </c>
      <c r="C145" s="5" t="s">
        <v>43</v>
      </c>
      <c r="D145" s="5" t="s">
        <v>87</v>
      </c>
      <c r="E145" s="16">
        <v>45541</v>
      </c>
      <c r="F145" s="16">
        <v>45598</v>
      </c>
      <c r="G145" s="16">
        <v>45597</v>
      </c>
      <c r="H145" s="5" t="s">
        <v>78</v>
      </c>
      <c r="I145" s="5" t="s">
        <v>30</v>
      </c>
      <c r="J145" s="5" t="s">
        <v>90</v>
      </c>
      <c r="K145" s="5" t="s">
        <v>116</v>
      </c>
      <c r="L145" s="5" t="s">
        <v>352</v>
      </c>
      <c r="M145" s="5" t="s">
        <v>73</v>
      </c>
      <c r="N145" s="5" t="s">
        <v>66</v>
      </c>
      <c r="O145" s="5">
        <v>4</v>
      </c>
      <c r="P145" s="7">
        <v>3812</v>
      </c>
      <c r="Q145" s="7">
        <v>0</v>
      </c>
      <c r="R145" s="17">
        <v>0.97</v>
      </c>
      <c r="S145">
        <f t="shared" si="10"/>
        <v>57</v>
      </c>
      <c r="T145">
        <f t="shared" si="11"/>
        <v>3697.64</v>
      </c>
      <c r="U145" t="str">
        <f t="shared" si="12"/>
        <v>No</v>
      </c>
      <c r="V145">
        <f t="shared" si="13"/>
        <v>0</v>
      </c>
      <c r="W145" t="str">
        <f t="shared" si="14"/>
        <v>No</v>
      </c>
    </row>
    <row r="146" spans="1:23" x14ac:dyDescent="0.3">
      <c r="A146" s="12" t="s">
        <v>353</v>
      </c>
      <c r="B146" s="12" t="s">
        <v>354</v>
      </c>
      <c r="C146" s="12" t="s">
        <v>49</v>
      </c>
      <c r="D146" s="12" t="s">
        <v>46</v>
      </c>
      <c r="E146" s="13">
        <v>45329</v>
      </c>
      <c r="F146" s="13">
        <v>45515</v>
      </c>
      <c r="G146" s="13">
        <v>45505</v>
      </c>
      <c r="H146" s="12" t="s">
        <v>65</v>
      </c>
      <c r="I146" s="12" t="s">
        <v>30</v>
      </c>
      <c r="J146" s="12" t="s">
        <v>90</v>
      </c>
      <c r="K146" s="12" t="s">
        <v>112</v>
      </c>
      <c r="L146" s="12" t="s">
        <v>355</v>
      </c>
      <c r="M146" s="12" t="s">
        <v>30</v>
      </c>
      <c r="N146" s="12" t="s">
        <v>51</v>
      </c>
      <c r="O146" s="12">
        <v>20</v>
      </c>
      <c r="P146" s="14">
        <v>2237</v>
      </c>
      <c r="Q146" s="14">
        <v>2196</v>
      </c>
      <c r="R146" s="15">
        <v>1</v>
      </c>
      <c r="S146">
        <f t="shared" si="10"/>
        <v>186</v>
      </c>
      <c r="T146">
        <f t="shared" si="11"/>
        <v>2237</v>
      </c>
      <c r="U146" t="str">
        <f t="shared" si="12"/>
        <v>No</v>
      </c>
      <c r="V146">
        <f t="shared" si="13"/>
        <v>0</v>
      </c>
      <c r="W146" t="str">
        <f t="shared" si="14"/>
        <v>Yes</v>
      </c>
    </row>
    <row r="147" spans="1:23" x14ac:dyDescent="0.3">
      <c r="A147" s="5" t="s">
        <v>353</v>
      </c>
      <c r="B147" s="5" t="s">
        <v>354</v>
      </c>
      <c r="C147" s="5" t="s">
        <v>49</v>
      </c>
      <c r="D147" s="5" t="s">
        <v>57</v>
      </c>
      <c r="E147" s="16">
        <v>45329</v>
      </c>
      <c r="F147" s="16">
        <v>45517</v>
      </c>
      <c r="G147" s="16">
        <v>45505</v>
      </c>
      <c r="H147" s="5" t="s">
        <v>65</v>
      </c>
      <c r="I147" s="5" t="s">
        <v>30</v>
      </c>
      <c r="J147" s="5" t="s">
        <v>92</v>
      </c>
      <c r="K147" s="5" t="s">
        <v>114</v>
      </c>
      <c r="L147" s="5" t="s">
        <v>356</v>
      </c>
      <c r="M147" s="5" t="s">
        <v>77</v>
      </c>
      <c r="N147" s="5" t="s">
        <v>56</v>
      </c>
      <c r="O147" s="5">
        <v>35</v>
      </c>
      <c r="P147" s="7">
        <v>8742</v>
      </c>
      <c r="Q147" s="7">
        <v>0</v>
      </c>
      <c r="R147" s="17">
        <v>0.44</v>
      </c>
      <c r="S147">
        <f t="shared" si="10"/>
        <v>188</v>
      </c>
      <c r="T147">
        <f t="shared" si="11"/>
        <v>3846.48</v>
      </c>
      <c r="U147" t="str">
        <f t="shared" si="12"/>
        <v>No</v>
      </c>
      <c r="V147">
        <f t="shared" si="13"/>
        <v>0</v>
      </c>
      <c r="W147" t="str">
        <f t="shared" si="14"/>
        <v>No</v>
      </c>
    </row>
    <row r="148" spans="1:23" x14ac:dyDescent="0.3">
      <c r="A148" s="12" t="s">
        <v>353</v>
      </c>
      <c r="B148" s="12" t="s">
        <v>354</v>
      </c>
      <c r="C148" s="12" t="s">
        <v>49</v>
      </c>
      <c r="D148" s="12" t="s">
        <v>71</v>
      </c>
      <c r="E148" s="13">
        <v>45329</v>
      </c>
      <c r="F148" s="13">
        <v>45527</v>
      </c>
      <c r="G148" s="13">
        <v>45505</v>
      </c>
      <c r="H148" s="12" t="s">
        <v>65</v>
      </c>
      <c r="I148" s="12" t="s">
        <v>30</v>
      </c>
      <c r="J148" s="12" t="s">
        <v>90</v>
      </c>
      <c r="K148" s="12" t="s">
        <v>116</v>
      </c>
      <c r="L148" s="12" t="s">
        <v>357</v>
      </c>
      <c r="M148" s="12" t="s">
        <v>77</v>
      </c>
      <c r="N148" s="12" t="s">
        <v>33</v>
      </c>
      <c r="O148" s="12">
        <v>8</v>
      </c>
      <c r="P148" s="14">
        <v>2613</v>
      </c>
      <c r="Q148" s="14">
        <v>0</v>
      </c>
      <c r="R148" s="15">
        <v>0.76</v>
      </c>
      <c r="S148">
        <f t="shared" si="10"/>
        <v>198</v>
      </c>
      <c r="T148">
        <f t="shared" si="11"/>
        <v>1985.88</v>
      </c>
      <c r="U148" t="str">
        <f t="shared" si="12"/>
        <v>No</v>
      </c>
      <c r="V148">
        <f t="shared" si="13"/>
        <v>0</v>
      </c>
      <c r="W148" t="str">
        <f t="shared" si="14"/>
        <v>No</v>
      </c>
    </row>
    <row r="149" spans="1:23" x14ac:dyDescent="0.3">
      <c r="A149" s="5" t="s">
        <v>358</v>
      </c>
      <c r="B149" s="5" t="s">
        <v>359</v>
      </c>
      <c r="C149" s="5" t="s">
        <v>54</v>
      </c>
      <c r="D149" s="5" t="s">
        <v>52</v>
      </c>
      <c r="E149" s="16">
        <v>45632</v>
      </c>
      <c r="F149" s="16">
        <v>45495</v>
      </c>
      <c r="G149" s="16">
        <v>45474</v>
      </c>
      <c r="H149" s="5" t="s">
        <v>60</v>
      </c>
      <c r="I149" s="5" t="s">
        <v>36</v>
      </c>
      <c r="J149" s="5" t="s">
        <v>88</v>
      </c>
      <c r="K149" s="5" t="s">
        <v>112</v>
      </c>
      <c r="L149" s="5" t="s">
        <v>360</v>
      </c>
      <c r="M149" s="5" t="s">
        <v>73</v>
      </c>
      <c r="N149" s="5" t="s">
        <v>45</v>
      </c>
      <c r="O149" s="5">
        <v>38</v>
      </c>
      <c r="P149" s="7">
        <v>9467</v>
      </c>
      <c r="Q149" s="7">
        <v>0</v>
      </c>
      <c r="R149" s="17">
        <v>0.71</v>
      </c>
      <c r="S149">
        <f t="shared" si="10"/>
        <v>-137</v>
      </c>
      <c r="T149">
        <f t="shared" si="11"/>
        <v>6721.57</v>
      </c>
      <c r="U149" t="str">
        <f t="shared" si="12"/>
        <v>No</v>
      </c>
      <c r="V149">
        <f t="shared" si="13"/>
        <v>0</v>
      </c>
      <c r="W149" t="str">
        <f t="shared" si="14"/>
        <v>No</v>
      </c>
    </row>
    <row r="150" spans="1:23" x14ac:dyDescent="0.3">
      <c r="A150" s="12" t="s">
        <v>358</v>
      </c>
      <c r="B150" s="12" t="s">
        <v>359</v>
      </c>
      <c r="C150" s="12" t="s">
        <v>54</v>
      </c>
      <c r="D150" s="12" t="s">
        <v>34</v>
      </c>
      <c r="E150" s="13">
        <v>45632</v>
      </c>
      <c r="F150" s="13">
        <v>45498</v>
      </c>
      <c r="G150" s="13">
        <v>45474</v>
      </c>
      <c r="H150" s="12" t="s">
        <v>60</v>
      </c>
      <c r="I150" s="12" t="s">
        <v>36</v>
      </c>
      <c r="J150" s="12" t="s">
        <v>88</v>
      </c>
      <c r="K150" s="12" t="s">
        <v>114</v>
      </c>
      <c r="L150" s="12" t="s">
        <v>361</v>
      </c>
      <c r="M150" s="12" t="s">
        <v>30</v>
      </c>
      <c r="N150" s="12" t="s">
        <v>51</v>
      </c>
      <c r="O150" s="12">
        <v>40</v>
      </c>
      <c r="P150" s="14">
        <v>1380</v>
      </c>
      <c r="Q150" s="14">
        <v>1005</v>
      </c>
      <c r="R150" s="15">
        <v>1</v>
      </c>
      <c r="S150">
        <f t="shared" si="10"/>
        <v>-134</v>
      </c>
      <c r="T150">
        <f t="shared" si="11"/>
        <v>1380</v>
      </c>
      <c r="U150" t="str">
        <f t="shared" si="12"/>
        <v>No</v>
      </c>
      <c r="V150">
        <f t="shared" si="13"/>
        <v>0</v>
      </c>
      <c r="W150" t="str">
        <f t="shared" si="14"/>
        <v>Yes</v>
      </c>
    </row>
    <row r="151" spans="1:23" x14ac:dyDescent="0.3">
      <c r="A151" s="5" t="s">
        <v>358</v>
      </c>
      <c r="B151" s="5" t="s">
        <v>359</v>
      </c>
      <c r="C151" s="5" t="s">
        <v>54</v>
      </c>
      <c r="D151" s="5" t="s">
        <v>46</v>
      </c>
      <c r="E151" s="16">
        <v>45632</v>
      </c>
      <c r="F151" s="16">
        <v>45504</v>
      </c>
      <c r="G151" s="16">
        <v>45474</v>
      </c>
      <c r="H151" s="5" t="s">
        <v>60</v>
      </c>
      <c r="I151" s="5" t="s">
        <v>36</v>
      </c>
      <c r="J151" s="5" t="s">
        <v>88</v>
      </c>
      <c r="K151" s="5" t="s">
        <v>116</v>
      </c>
      <c r="L151" s="5" t="s">
        <v>362</v>
      </c>
      <c r="M151" s="5" t="s">
        <v>73</v>
      </c>
      <c r="N151" s="5" t="s">
        <v>66</v>
      </c>
      <c r="O151" s="5">
        <v>18</v>
      </c>
      <c r="P151" s="7">
        <v>1169</v>
      </c>
      <c r="Q151" s="7">
        <v>0</v>
      </c>
      <c r="R151" s="17">
        <v>0.09</v>
      </c>
      <c r="S151">
        <f t="shared" si="10"/>
        <v>-128</v>
      </c>
      <c r="T151">
        <f t="shared" si="11"/>
        <v>105.21</v>
      </c>
      <c r="U151" t="str">
        <f t="shared" si="12"/>
        <v>No</v>
      </c>
      <c r="V151">
        <f t="shared" si="13"/>
        <v>0</v>
      </c>
      <c r="W151" t="str">
        <f t="shared" si="14"/>
        <v>No</v>
      </c>
    </row>
    <row r="152" spans="1:23" x14ac:dyDescent="0.3">
      <c r="A152" s="12" t="s">
        <v>363</v>
      </c>
      <c r="B152" s="12" t="s">
        <v>364</v>
      </c>
      <c r="C152" s="12" t="s">
        <v>31</v>
      </c>
      <c r="D152" s="12" t="s">
        <v>62</v>
      </c>
      <c r="E152" s="13">
        <v>45374</v>
      </c>
      <c r="F152" s="13">
        <v>45638</v>
      </c>
      <c r="G152" s="13">
        <v>45627</v>
      </c>
      <c r="H152" s="12" t="s">
        <v>81</v>
      </c>
      <c r="I152" s="12" t="s">
        <v>42</v>
      </c>
      <c r="J152" s="12" t="s">
        <v>92</v>
      </c>
      <c r="K152" s="12" t="s">
        <v>112</v>
      </c>
      <c r="L152" s="12" t="s">
        <v>365</v>
      </c>
      <c r="M152" s="12" t="s">
        <v>77</v>
      </c>
      <c r="N152" s="12" t="s">
        <v>39</v>
      </c>
      <c r="O152" s="12">
        <v>19</v>
      </c>
      <c r="P152" s="14">
        <v>7063</v>
      </c>
      <c r="Q152" s="14">
        <v>0</v>
      </c>
      <c r="R152" s="15">
        <v>0.03</v>
      </c>
      <c r="S152">
        <f t="shared" si="10"/>
        <v>264</v>
      </c>
      <c r="T152">
        <f t="shared" si="11"/>
        <v>211.89</v>
      </c>
      <c r="U152" t="str">
        <f t="shared" si="12"/>
        <v>No</v>
      </c>
      <c r="V152">
        <f t="shared" si="13"/>
        <v>0</v>
      </c>
      <c r="W152" t="str">
        <f t="shared" si="14"/>
        <v>No</v>
      </c>
    </row>
    <row r="153" spans="1:23" x14ac:dyDescent="0.3">
      <c r="A153" s="5" t="s">
        <v>363</v>
      </c>
      <c r="B153" s="5" t="s">
        <v>364</v>
      </c>
      <c r="C153" s="5" t="s">
        <v>31</v>
      </c>
      <c r="D153" s="5" t="s">
        <v>34</v>
      </c>
      <c r="E153" s="16">
        <v>45374</v>
      </c>
      <c r="F153" s="16">
        <v>45560</v>
      </c>
      <c r="G153" s="16">
        <v>45536</v>
      </c>
      <c r="H153" s="5" t="s">
        <v>69</v>
      </c>
      <c r="I153" s="5" t="s">
        <v>42</v>
      </c>
      <c r="J153" s="5" t="s">
        <v>88</v>
      </c>
      <c r="K153" s="5" t="s">
        <v>114</v>
      </c>
      <c r="L153" s="5" t="s">
        <v>366</v>
      </c>
      <c r="M153" s="5" t="s">
        <v>30</v>
      </c>
      <c r="N153" s="5" t="s">
        <v>70</v>
      </c>
      <c r="O153" s="5">
        <v>27</v>
      </c>
      <c r="P153" s="7">
        <v>3221</v>
      </c>
      <c r="Q153" s="7">
        <v>3074</v>
      </c>
      <c r="R153" s="17">
        <v>1</v>
      </c>
      <c r="S153">
        <f t="shared" si="10"/>
        <v>186</v>
      </c>
      <c r="T153">
        <f t="shared" si="11"/>
        <v>3221</v>
      </c>
      <c r="U153" t="str">
        <f t="shared" si="12"/>
        <v>No</v>
      </c>
      <c r="V153">
        <f t="shared" si="13"/>
        <v>0</v>
      </c>
      <c r="W153" t="str">
        <f t="shared" si="14"/>
        <v>Yes</v>
      </c>
    </row>
    <row r="154" spans="1:23" x14ac:dyDescent="0.3">
      <c r="A154" s="12" t="s">
        <v>363</v>
      </c>
      <c r="B154" s="12" t="s">
        <v>364</v>
      </c>
      <c r="C154" s="12" t="s">
        <v>31</v>
      </c>
      <c r="D154" s="12" t="s">
        <v>87</v>
      </c>
      <c r="E154" s="13">
        <v>45374</v>
      </c>
      <c r="F154" s="13">
        <v>45586</v>
      </c>
      <c r="G154" s="13">
        <v>45566</v>
      </c>
      <c r="H154" s="12" t="s">
        <v>74</v>
      </c>
      <c r="I154" s="12" t="s">
        <v>42</v>
      </c>
      <c r="J154" s="12" t="s">
        <v>88</v>
      </c>
      <c r="K154" s="12" t="s">
        <v>116</v>
      </c>
      <c r="L154" s="12" t="s">
        <v>367</v>
      </c>
      <c r="M154" s="12" t="s">
        <v>73</v>
      </c>
      <c r="N154" s="12" t="s">
        <v>56</v>
      </c>
      <c r="O154" s="12">
        <v>12</v>
      </c>
      <c r="P154" s="14">
        <v>1201</v>
      </c>
      <c r="Q154" s="14">
        <v>0</v>
      </c>
      <c r="R154" s="15">
        <v>0.41</v>
      </c>
      <c r="S154">
        <f t="shared" si="10"/>
        <v>212</v>
      </c>
      <c r="T154">
        <f t="shared" si="11"/>
        <v>492.40999999999997</v>
      </c>
      <c r="U154" t="str">
        <f t="shared" si="12"/>
        <v>No</v>
      </c>
      <c r="V154">
        <f t="shared" si="13"/>
        <v>0</v>
      </c>
      <c r="W154" t="str">
        <f t="shared" si="14"/>
        <v>No</v>
      </c>
    </row>
    <row r="155" spans="1:23" x14ac:dyDescent="0.3">
      <c r="A155" s="5" t="s">
        <v>368</v>
      </c>
      <c r="B155" s="5" t="s">
        <v>369</v>
      </c>
      <c r="C155" s="5" t="s">
        <v>59</v>
      </c>
      <c r="D155" s="5" t="s">
        <v>34</v>
      </c>
      <c r="E155" s="16">
        <v>45439</v>
      </c>
      <c r="F155" s="16">
        <v>45865</v>
      </c>
      <c r="G155" s="16">
        <v>45839</v>
      </c>
      <c r="H155" s="5" t="s">
        <v>96</v>
      </c>
      <c r="I155" s="5" t="s">
        <v>48</v>
      </c>
      <c r="J155" s="5" t="s">
        <v>92</v>
      </c>
      <c r="K155" s="5" t="s">
        <v>112</v>
      </c>
      <c r="L155" s="5" t="s">
        <v>370</v>
      </c>
      <c r="M155" s="5" t="s">
        <v>73</v>
      </c>
      <c r="N155" s="5" t="s">
        <v>56</v>
      </c>
      <c r="O155" s="5">
        <v>19</v>
      </c>
      <c r="P155" s="7">
        <v>8114</v>
      </c>
      <c r="Q155" s="7">
        <v>9104</v>
      </c>
      <c r="R155" s="17">
        <v>0.88</v>
      </c>
      <c r="S155">
        <f t="shared" si="10"/>
        <v>426</v>
      </c>
      <c r="T155">
        <f t="shared" si="11"/>
        <v>7140.32</v>
      </c>
      <c r="U155" t="str">
        <f t="shared" si="12"/>
        <v>Yes</v>
      </c>
      <c r="V155">
        <f t="shared" si="13"/>
        <v>990</v>
      </c>
      <c r="W155" t="str">
        <f t="shared" si="14"/>
        <v>Yes</v>
      </c>
    </row>
    <row r="156" spans="1:23" x14ac:dyDescent="0.3">
      <c r="A156" s="12" t="s">
        <v>368</v>
      </c>
      <c r="B156" s="12" t="s">
        <v>369</v>
      </c>
      <c r="C156" s="12" t="s">
        <v>59</v>
      </c>
      <c r="D156" s="12" t="s">
        <v>62</v>
      </c>
      <c r="E156" s="13">
        <v>45439</v>
      </c>
      <c r="F156" s="13">
        <v>45819</v>
      </c>
      <c r="G156" s="13">
        <v>45809</v>
      </c>
      <c r="H156" s="12" t="s">
        <v>94</v>
      </c>
      <c r="I156" s="12" t="s">
        <v>48</v>
      </c>
      <c r="J156" s="12" t="s">
        <v>92</v>
      </c>
      <c r="K156" s="12" t="s">
        <v>114</v>
      </c>
      <c r="L156" s="12" t="s">
        <v>371</v>
      </c>
      <c r="M156" s="12" t="s">
        <v>77</v>
      </c>
      <c r="N156" s="12" t="s">
        <v>51</v>
      </c>
      <c r="O156" s="12">
        <v>14</v>
      </c>
      <c r="P156" s="14">
        <v>7222</v>
      </c>
      <c r="Q156" s="14">
        <v>0</v>
      </c>
      <c r="R156" s="15">
        <v>0.19</v>
      </c>
      <c r="S156">
        <f t="shared" si="10"/>
        <v>380</v>
      </c>
      <c r="T156">
        <f t="shared" si="11"/>
        <v>1372.18</v>
      </c>
      <c r="U156" t="str">
        <f t="shared" si="12"/>
        <v>No</v>
      </c>
      <c r="V156">
        <f t="shared" si="13"/>
        <v>0</v>
      </c>
      <c r="W156" t="str">
        <f t="shared" si="14"/>
        <v>No</v>
      </c>
    </row>
    <row r="157" spans="1:23" x14ac:dyDescent="0.3">
      <c r="A157" s="5" t="s">
        <v>368</v>
      </c>
      <c r="B157" s="5" t="s">
        <v>369</v>
      </c>
      <c r="C157" s="5" t="s">
        <v>59</v>
      </c>
      <c r="D157" s="5" t="s">
        <v>52</v>
      </c>
      <c r="E157" s="16">
        <v>45439</v>
      </c>
      <c r="F157" s="16">
        <v>45891</v>
      </c>
      <c r="G157" s="16">
        <v>45870</v>
      </c>
      <c r="H157" s="5" t="s">
        <v>97</v>
      </c>
      <c r="I157" s="5" t="s">
        <v>48</v>
      </c>
      <c r="J157" s="5" t="s">
        <v>88</v>
      </c>
      <c r="K157" s="5" t="s">
        <v>116</v>
      </c>
      <c r="L157" s="5" t="s">
        <v>372</v>
      </c>
      <c r="M157" s="5" t="s">
        <v>73</v>
      </c>
      <c r="N157" s="5" t="s">
        <v>56</v>
      </c>
      <c r="O157" s="5">
        <v>9</v>
      </c>
      <c r="P157" s="7">
        <v>2022</v>
      </c>
      <c r="Q157" s="7">
        <v>0</v>
      </c>
      <c r="R157" s="17">
        <v>0.63</v>
      </c>
      <c r="S157">
        <f t="shared" si="10"/>
        <v>452</v>
      </c>
      <c r="T157">
        <f t="shared" si="11"/>
        <v>1273.8599999999999</v>
      </c>
      <c r="U157" t="str">
        <f t="shared" si="12"/>
        <v>No</v>
      </c>
      <c r="V157">
        <f t="shared" si="13"/>
        <v>0</v>
      </c>
      <c r="W157" t="str">
        <f t="shared" si="14"/>
        <v>No</v>
      </c>
    </row>
    <row r="158" spans="1:23" x14ac:dyDescent="0.3">
      <c r="A158" s="12" t="s">
        <v>373</v>
      </c>
      <c r="B158" s="12" t="s">
        <v>374</v>
      </c>
      <c r="C158" s="12" t="s">
        <v>43</v>
      </c>
      <c r="D158" s="12" t="s">
        <v>57</v>
      </c>
      <c r="E158" s="13">
        <v>45461</v>
      </c>
      <c r="F158" s="13">
        <v>45623</v>
      </c>
      <c r="G158" s="13">
        <v>45597</v>
      </c>
      <c r="H158" s="12" t="s">
        <v>78</v>
      </c>
      <c r="I158" s="12" t="s">
        <v>36</v>
      </c>
      <c r="J158" s="12" t="s">
        <v>92</v>
      </c>
      <c r="K158" s="12" t="s">
        <v>112</v>
      </c>
      <c r="L158" s="12" t="s">
        <v>375</v>
      </c>
      <c r="M158" s="12" t="s">
        <v>73</v>
      </c>
      <c r="N158" s="12" t="s">
        <v>39</v>
      </c>
      <c r="O158" s="12">
        <v>3</v>
      </c>
      <c r="P158" s="14">
        <v>9700</v>
      </c>
      <c r="Q158" s="14">
        <v>0</v>
      </c>
      <c r="R158" s="15">
        <v>0.48</v>
      </c>
      <c r="S158">
        <f t="shared" si="10"/>
        <v>162</v>
      </c>
      <c r="T158">
        <f t="shared" si="11"/>
        <v>4656</v>
      </c>
      <c r="U158" t="str">
        <f t="shared" si="12"/>
        <v>No</v>
      </c>
      <c r="V158">
        <f t="shared" si="13"/>
        <v>0</v>
      </c>
      <c r="W158" t="str">
        <f t="shared" si="14"/>
        <v>No</v>
      </c>
    </row>
    <row r="159" spans="1:23" x14ac:dyDescent="0.3">
      <c r="A159" s="5" t="s">
        <v>373</v>
      </c>
      <c r="B159" s="5" t="s">
        <v>374</v>
      </c>
      <c r="C159" s="5" t="s">
        <v>43</v>
      </c>
      <c r="D159" s="5" t="s">
        <v>75</v>
      </c>
      <c r="E159" s="16">
        <v>45461</v>
      </c>
      <c r="F159" s="16">
        <v>45586</v>
      </c>
      <c r="G159" s="16">
        <v>45566</v>
      </c>
      <c r="H159" s="5" t="s">
        <v>74</v>
      </c>
      <c r="I159" s="5" t="s">
        <v>36</v>
      </c>
      <c r="J159" s="5" t="s">
        <v>88</v>
      </c>
      <c r="K159" s="5" t="s">
        <v>114</v>
      </c>
      <c r="L159" s="5" t="s">
        <v>376</v>
      </c>
      <c r="M159" s="5" t="s">
        <v>77</v>
      </c>
      <c r="N159" s="5" t="s">
        <v>33</v>
      </c>
      <c r="O159" s="5">
        <v>21</v>
      </c>
      <c r="P159" s="7">
        <v>7624</v>
      </c>
      <c r="Q159" s="7">
        <v>0</v>
      </c>
      <c r="R159" s="17">
        <v>0.45</v>
      </c>
      <c r="S159">
        <f t="shared" si="10"/>
        <v>125</v>
      </c>
      <c r="T159">
        <f t="shared" si="11"/>
        <v>3430.8</v>
      </c>
      <c r="U159" t="str">
        <f t="shared" si="12"/>
        <v>No</v>
      </c>
      <c r="V159">
        <f t="shared" si="13"/>
        <v>0</v>
      </c>
      <c r="W159" t="str">
        <f t="shared" si="14"/>
        <v>No</v>
      </c>
    </row>
    <row r="160" spans="1:23" x14ac:dyDescent="0.3">
      <c r="A160" s="12" t="s">
        <v>373</v>
      </c>
      <c r="B160" s="12" t="s">
        <v>374</v>
      </c>
      <c r="C160" s="12" t="s">
        <v>43</v>
      </c>
      <c r="D160" s="12" t="s">
        <v>62</v>
      </c>
      <c r="E160" s="13">
        <v>45461</v>
      </c>
      <c r="F160" s="13">
        <v>45603</v>
      </c>
      <c r="G160" s="13">
        <v>45597</v>
      </c>
      <c r="H160" s="12" t="s">
        <v>78</v>
      </c>
      <c r="I160" s="12" t="s">
        <v>36</v>
      </c>
      <c r="J160" s="12" t="s">
        <v>88</v>
      </c>
      <c r="K160" s="12" t="s">
        <v>116</v>
      </c>
      <c r="L160" s="12" t="s">
        <v>377</v>
      </c>
      <c r="M160" s="12" t="s">
        <v>77</v>
      </c>
      <c r="N160" s="12" t="s">
        <v>33</v>
      </c>
      <c r="O160" s="12">
        <v>6</v>
      </c>
      <c r="P160" s="14">
        <v>9072</v>
      </c>
      <c r="Q160" s="14">
        <v>0</v>
      </c>
      <c r="R160" s="15">
        <v>0.66</v>
      </c>
      <c r="S160">
        <f t="shared" si="10"/>
        <v>142</v>
      </c>
      <c r="T160">
        <f t="shared" si="11"/>
        <v>5987.52</v>
      </c>
      <c r="U160" t="str">
        <f t="shared" si="12"/>
        <v>No</v>
      </c>
      <c r="V160">
        <f t="shared" si="13"/>
        <v>0</v>
      </c>
      <c r="W160" t="str">
        <f t="shared" si="14"/>
        <v>No</v>
      </c>
    </row>
    <row r="161" spans="1:23" x14ac:dyDescent="0.3">
      <c r="A161" s="5" t="s">
        <v>378</v>
      </c>
      <c r="B161" s="5" t="s">
        <v>379</v>
      </c>
      <c r="C161" s="5" t="s">
        <v>59</v>
      </c>
      <c r="D161" s="5" t="s">
        <v>75</v>
      </c>
      <c r="E161" s="16">
        <v>45397</v>
      </c>
      <c r="F161" s="16">
        <v>45652</v>
      </c>
      <c r="G161" s="16">
        <v>45627</v>
      </c>
      <c r="H161" s="5" t="s">
        <v>81</v>
      </c>
      <c r="I161" s="5" t="s">
        <v>42</v>
      </c>
      <c r="J161" s="5" t="s">
        <v>88</v>
      </c>
      <c r="K161" s="5" t="s">
        <v>112</v>
      </c>
      <c r="L161" s="5" t="s">
        <v>380</v>
      </c>
      <c r="M161" s="5" t="s">
        <v>77</v>
      </c>
      <c r="N161" s="5" t="s">
        <v>33</v>
      </c>
      <c r="O161" s="5">
        <v>25</v>
      </c>
      <c r="P161" s="7">
        <v>6793</v>
      </c>
      <c r="Q161" s="7">
        <v>0</v>
      </c>
      <c r="R161" s="17">
        <v>0.95</v>
      </c>
      <c r="S161">
        <f t="shared" si="10"/>
        <v>255</v>
      </c>
      <c r="T161">
        <f t="shared" si="11"/>
        <v>6453.3499999999995</v>
      </c>
      <c r="U161" t="str">
        <f t="shared" si="12"/>
        <v>No</v>
      </c>
      <c r="V161">
        <f t="shared" si="13"/>
        <v>0</v>
      </c>
      <c r="W161" t="str">
        <f t="shared" si="14"/>
        <v>No</v>
      </c>
    </row>
    <row r="162" spans="1:23" x14ac:dyDescent="0.3">
      <c r="A162" s="12" t="s">
        <v>378</v>
      </c>
      <c r="B162" s="12" t="s">
        <v>379</v>
      </c>
      <c r="C162" s="12" t="s">
        <v>59</v>
      </c>
      <c r="D162" s="12" t="s">
        <v>79</v>
      </c>
      <c r="E162" s="13">
        <v>45397</v>
      </c>
      <c r="F162" s="13">
        <v>45722</v>
      </c>
      <c r="G162" s="13">
        <v>45717</v>
      </c>
      <c r="H162" s="12" t="s">
        <v>89</v>
      </c>
      <c r="I162" s="12" t="s">
        <v>42</v>
      </c>
      <c r="J162" s="12" t="s">
        <v>88</v>
      </c>
      <c r="K162" s="12" t="s">
        <v>114</v>
      </c>
      <c r="L162" s="12" t="s">
        <v>381</v>
      </c>
      <c r="M162" s="12" t="s">
        <v>77</v>
      </c>
      <c r="N162" s="12" t="s">
        <v>56</v>
      </c>
      <c r="O162" s="12">
        <v>33</v>
      </c>
      <c r="P162" s="14">
        <v>2398</v>
      </c>
      <c r="Q162" s="14">
        <v>0</v>
      </c>
      <c r="R162" s="15">
        <v>0.32</v>
      </c>
      <c r="S162">
        <f t="shared" si="10"/>
        <v>325</v>
      </c>
      <c r="T162">
        <f t="shared" si="11"/>
        <v>767.36</v>
      </c>
      <c r="U162" t="str">
        <f t="shared" si="12"/>
        <v>No</v>
      </c>
      <c r="V162">
        <f t="shared" si="13"/>
        <v>0</v>
      </c>
      <c r="W162" t="str">
        <f t="shared" si="14"/>
        <v>No</v>
      </c>
    </row>
    <row r="163" spans="1:23" x14ac:dyDescent="0.3">
      <c r="A163" s="5" t="s">
        <v>378</v>
      </c>
      <c r="B163" s="5" t="s">
        <v>379</v>
      </c>
      <c r="C163" s="5" t="s">
        <v>59</v>
      </c>
      <c r="D163" s="5" t="s">
        <v>71</v>
      </c>
      <c r="E163" s="16">
        <v>45397</v>
      </c>
      <c r="F163" s="16">
        <v>45776</v>
      </c>
      <c r="G163" s="16">
        <v>45748</v>
      </c>
      <c r="H163" s="5" t="s">
        <v>91</v>
      </c>
      <c r="I163" s="5" t="s">
        <v>42</v>
      </c>
      <c r="J163" s="5" t="s">
        <v>92</v>
      </c>
      <c r="K163" s="5" t="s">
        <v>116</v>
      </c>
      <c r="L163" s="5" t="s">
        <v>382</v>
      </c>
      <c r="M163" s="5" t="s">
        <v>73</v>
      </c>
      <c r="N163" s="5" t="s">
        <v>45</v>
      </c>
      <c r="O163" s="5">
        <v>16</v>
      </c>
      <c r="P163" s="7">
        <v>9449</v>
      </c>
      <c r="Q163" s="7">
        <v>0</v>
      </c>
      <c r="R163" s="17">
        <v>0.75</v>
      </c>
      <c r="S163">
        <f t="shared" si="10"/>
        <v>379</v>
      </c>
      <c r="T163">
        <f t="shared" si="11"/>
        <v>7086.75</v>
      </c>
      <c r="U163" t="str">
        <f t="shared" si="12"/>
        <v>No</v>
      </c>
      <c r="V163">
        <f t="shared" si="13"/>
        <v>0</v>
      </c>
      <c r="W163" t="str">
        <f t="shared" si="14"/>
        <v>No</v>
      </c>
    </row>
    <row r="164" spans="1:23" x14ac:dyDescent="0.3">
      <c r="A164" s="12" t="s">
        <v>383</v>
      </c>
      <c r="B164" s="12" t="s">
        <v>384</v>
      </c>
      <c r="C164" s="12" t="s">
        <v>59</v>
      </c>
      <c r="D164" s="12" t="s">
        <v>34</v>
      </c>
      <c r="E164" s="13">
        <v>45532</v>
      </c>
      <c r="F164" s="13">
        <v>45768</v>
      </c>
      <c r="G164" s="13">
        <v>45748</v>
      </c>
      <c r="H164" s="12" t="s">
        <v>91</v>
      </c>
      <c r="I164" s="12" t="s">
        <v>48</v>
      </c>
      <c r="J164" s="12" t="s">
        <v>88</v>
      </c>
      <c r="K164" s="12" t="s">
        <v>112</v>
      </c>
      <c r="L164" s="12" t="s">
        <v>385</v>
      </c>
      <c r="M164" s="12" t="s">
        <v>73</v>
      </c>
      <c r="N164" s="12" t="s">
        <v>66</v>
      </c>
      <c r="O164" s="12">
        <v>17</v>
      </c>
      <c r="P164" s="14">
        <v>8386</v>
      </c>
      <c r="Q164" s="14">
        <v>0</v>
      </c>
      <c r="R164" s="15">
        <v>0.36</v>
      </c>
      <c r="S164">
        <f t="shared" si="10"/>
        <v>236</v>
      </c>
      <c r="T164">
        <f t="shared" si="11"/>
        <v>3018.96</v>
      </c>
      <c r="U164" t="str">
        <f t="shared" si="12"/>
        <v>No</v>
      </c>
      <c r="V164">
        <f t="shared" si="13"/>
        <v>0</v>
      </c>
      <c r="W164" t="str">
        <f t="shared" si="14"/>
        <v>No</v>
      </c>
    </row>
    <row r="165" spans="1:23" x14ac:dyDescent="0.3">
      <c r="A165" s="5" t="s">
        <v>383</v>
      </c>
      <c r="B165" s="5" t="s">
        <v>384</v>
      </c>
      <c r="C165" s="5" t="s">
        <v>59</v>
      </c>
      <c r="D165" s="5" t="s">
        <v>52</v>
      </c>
      <c r="E165" s="16">
        <v>45532</v>
      </c>
      <c r="F165" s="16">
        <v>45897</v>
      </c>
      <c r="G165" s="16">
        <v>45870</v>
      </c>
      <c r="H165" s="5" t="s">
        <v>97</v>
      </c>
      <c r="I165" s="5" t="s">
        <v>48</v>
      </c>
      <c r="J165" s="5" t="s">
        <v>88</v>
      </c>
      <c r="K165" s="5" t="s">
        <v>114</v>
      </c>
      <c r="L165" s="5" t="s">
        <v>386</v>
      </c>
      <c r="M165" s="5" t="s">
        <v>77</v>
      </c>
      <c r="N165" s="5" t="s">
        <v>66</v>
      </c>
      <c r="O165" s="5">
        <v>29</v>
      </c>
      <c r="P165" s="7">
        <v>4294</v>
      </c>
      <c r="Q165" s="7">
        <v>0</v>
      </c>
      <c r="R165" s="17">
        <v>0.17</v>
      </c>
      <c r="S165">
        <f t="shared" si="10"/>
        <v>365</v>
      </c>
      <c r="T165">
        <f t="shared" si="11"/>
        <v>729.98</v>
      </c>
      <c r="U165" t="str">
        <f t="shared" si="12"/>
        <v>No</v>
      </c>
      <c r="V165">
        <f t="shared" si="13"/>
        <v>0</v>
      </c>
      <c r="W165" t="str">
        <f t="shared" si="14"/>
        <v>No</v>
      </c>
    </row>
    <row r="166" spans="1:23" x14ac:dyDescent="0.3">
      <c r="A166" s="12" t="s">
        <v>383</v>
      </c>
      <c r="B166" s="12" t="s">
        <v>384</v>
      </c>
      <c r="C166" s="12" t="s">
        <v>59</v>
      </c>
      <c r="D166" s="12" t="s">
        <v>40</v>
      </c>
      <c r="E166" s="13">
        <v>45532</v>
      </c>
      <c r="F166" s="13">
        <v>45905</v>
      </c>
      <c r="G166" s="13">
        <v>45901</v>
      </c>
      <c r="H166" s="12" t="s">
        <v>98</v>
      </c>
      <c r="I166" s="12" t="s">
        <v>48</v>
      </c>
      <c r="J166" s="12" t="s">
        <v>88</v>
      </c>
      <c r="K166" s="12" t="s">
        <v>116</v>
      </c>
      <c r="L166" s="12" t="s">
        <v>387</v>
      </c>
      <c r="M166" s="12" t="s">
        <v>73</v>
      </c>
      <c r="N166" s="12" t="s">
        <v>39</v>
      </c>
      <c r="O166" s="12">
        <v>27</v>
      </c>
      <c r="P166" s="14">
        <v>8340</v>
      </c>
      <c r="Q166" s="14">
        <v>0</v>
      </c>
      <c r="R166" s="15">
        <v>0.09</v>
      </c>
      <c r="S166">
        <f t="shared" si="10"/>
        <v>373</v>
      </c>
      <c r="T166">
        <f t="shared" si="11"/>
        <v>750.6</v>
      </c>
      <c r="U166" t="str">
        <f t="shared" si="12"/>
        <v>No</v>
      </c>
      <c r="V166">
        <f t="shared" si="13"/>
        <v>0</v>
      </c>
      <c r="W166" t="str">
        <f t="shared" si="14"/>
        <v>No</v>
      </c>
    </row>
    <row r="167" spans="1:23" x14ac:dyDescent="0.3">
      <c r="A167" s="5" t="s">
        <v>388</v>
      </c>
      <c r="B167" s="5" t="s">
        <v>389</v>
      </c>
      <c r="C167" s="5" t="s">
        <v>31</v>
      </c>
      <c r="D167" s="5" t="s">
        <v>46</v>
      </c>
      <c r="E167" s="16">
        <v>45519</v>
      </c>
      <c r="F167" s="16">
        <v>45560</v>
      </c>
      <c r="G167" s="16">
        <v>45536</v>
      </c>
      <c r="H167" s="5" t="s">
        <v>69</v>
      </c>
      <c r="I167" s="5" t="s">
        <v>30</v>
      </c>
      <c r="J167" s="5" t="s">
        <v>88</v>
      </c>
      <c r="K167" s="5" t="s">
        <v>112</v>
      </c>
      <c r="L167" s="5" t="s">
        <v>390</v>
      </c>
      <c r="M167" s="5" t="s">
        <v>30</v>
      </c>
      <c r="N167" s="5" t="s">
        <v>45</v>
      </c>
      <c r="O167" s="5">
        <v>25</v>
      </c>
      <c r="P167" s="7">
        <v>3548</v>
      </c>
      <c r="Q167" s="7">
        <v>3528</v>
      </c>
      <c r="R167" s="17">
        <v>1</v>
      </c>
      <c r="S167">
        <f t="shared" si="10"/>
        <v>41</v>
      </c>
      <c r="T167">
        <f t="shared" si="11"/>
        <v>3548</v>
      </c>
      <c r="U167" t="str">
        <f t="shared" si="12"/>
        <v>No</v>
      </c>
      <c r="V167">
        <f t="shared" si="13"/>
        <v>0</v>
      </c>
      <c r="W167" t="str">
        <f t="shared" si="14"/>
        <v>Yes</v>
      </c>
    </row>
    <row r="168" spans="1:23" x14ac:dyDescent="0.3">
      <c r="A168" s="12" t="s">
        <v>388</v>
      </c>
      <c r="B168" s="12" t="s">
        <v>389</v>
      </c>
      <c r="C168" s="12" t="s">
        <v>31</v>
      </c>
      <c r="D168" s="12" t="s">
        <v>79</v>
      </c>
      <c r="E168" s="13">
        <v>45519</v>
      </c>
      <c r="F168" s="13">
        <v>45598</v>
      </c>
      <c r="G168" s="13">
        <v>45597</v>
      </c>
      <c r="H168" s="12" t="s">
        <v>78</v>
      </c>
      <c r="I168" s="12" t="s">
        <v>30</v>
      </c>
      <c r="J168" s="12" t="s">
        <v>92</v>
      </c>
      <c r="K168" s="12" t="s">
        <v>114</v>
      </c>
      <c r="L168" s="12" t="s">
        <v>391</v>
      </c>
      <c r="M168" s="12" t="s">
        <v>73</v>
      </c>
      <c r="N168" s="12" t="s">
        <v>45</v>
      </c>
      <c r="O168" s="12">
        <v>23</v>
      </c>
      <c r="P168" s="14">
        <v>9545</v>
      </c>
      <c r="Q168" s="14">
        <v>0</v>
      </c>
      <c r="R168" s="15">
        <v>0.08</v>
      </c>
      <c r="S168">
        <f t="shared" si="10"/>
        <v>79</v>
      </c>
      <c r="T168">
        <f t="shared" si="11"/>
        <v>763.6</v>
      </c>
      <c r="U168" t="str">
        <f t="shared" si="12"/>
        <v>No</v>
      </c>
      <c r="V168">
        <f t="shared" si="13"/>
        <v>0</v>
      </c>
      <c r="W168" t="str">
        <f t="shared" si="14"/>
        <v>No</v>
      </c>
    </row>
    <row r="169" spans="1:23" x14ac:dyDescent="0.3">
      <c r="A169" s="5" t="s">
        <v>388</v>
      </c>
      <c r="B169" s="5" t="s">
        <v>389</v>
      </c>
      <c r="C169" s="5" t="s">
        <v>31</v>
      </c>
      <c r="D169" s="5" t="s">
        <v>87</v>
      </c>
      <c r="E169" s="16">
        <v>45519</v>
      </c>
      <c r="F169" s="16">
        <v>45600</v>
      </c>
      <c r="G169" s="16">
        <v>45597</v>
      </c>
      <c r="H169" s="5" t="s">
        <v>78</v>
      </c>
      <c r="I169" s="5" t="s">
        <v>30</v>
      </c>
      <c r="J169" s="5" t="s">
        <v>88</v>
      </c>
      <c r="K169" s="5" t="s">
        <v>116</v>
      </c>
      <c r="L169" s="5" t="s">
        <v>392</v>
      </c>
      <c r="M169" s="5" t="s">
        <v>73</v>
      </c>
      <c r="N169" s="5" t="s">
        <v>39</v>
      </c>
      <c r="O169" s="5">
        <v>40</v>
      </c>
      <c r="P169" s="7">
        <v>1449</v>
      </c>
      <c r="Q169" s="7">
        <v>0</v>
      </c>
      <c r="R169" s="17">
        <v>0.19</v>
      </c>
      <c r="S169">
        <f t="shared" si="10"/>
        <v>81</v>
      </c>
      <c r="T169">
        <f t="shared" si="11"/>
        <v>275.31</v>
      </c>
      <c r="U169" t="str">
        <f t="shared" si="12"/>
        <v>No</v>
      </c>
      <c r="V169">
        <f t="shared" si="13"/>
        <v>0</v>
      </c>
      <c r="W169" t="str">
        <f t="shared" si="14"/>
        <v>No</v>
      </c>
    </row>
    <row r="170" spans="1:23" x14ac:dyDescent="0.3">
      <c r="A170" s="12" t="s">
        <v>393</v>
      </c>
      <c r="B170" s="12" t="s">
        <v>394</v>
      </c>
      <c r="C170" s="12" t="s">
        <v>43</v>
      </c>
      <c r="D170" s="12" t="s">
        <v>82</v>
      </c>
      <c r="E170" s="13">
        <v>45374</v>
      </c>
      <c r="F170" s="13">
        <v>45823</v>
      </c>
      <c r="G170" s="13">
        <v>45809</v>
      </c>
      <c r="H170" s="12" t="s">
        <v>94</v>
      </c>
      <c r="I170" s="12" t="s">
        <v>36</v>
      </c>
      <c r="J170" s="12" t="s">
        <v>90</v>
      </c>
      <c r="K170" s="12" t="s">
        <v>112</v>
      </c>
      <c r="L170" s="12" t="s">
        <v>395</v>
      </c>
      <c r="M170" s="12" t="s">
        <v>73</v>
      </c>
      <c r="N170" s="12" t="s">
        <v>70</v>
      </c>
      <c r="O170" s="12">
        <v>20</v>
      </c>
      <c r="P170" s="14">
        <v>9728</v>
      </c>
      <c r="Q170" s="14">
        <v>0</v>
      </c>
      <c r="R170" s="15">
        <v>0.15</v>
      </c>
      <c r="S170">
        <f t="shared" si="10"/>
        <v>449</v>
      </c>
      <c r="T170">
        <f t="shared" si="11"/>
        <v>1459.2</v>
      </c>
      <c r="U170" t="str">
        <f t="shared" si="12"/>
        <v>No</v>
      </c>
      <c r="V170">
        <f t="shared" si="13"/>
        <v>0</v>
      </c>
      <c r="W170" t="str">
        <f t="shared" si="14"/>
        <v>No</v>
      </c>
    </row>
    <row r="171" spans="1:23" x14ac:dyDescent="0.3">
      <c r="A171" s="5" t="s">
        <v>393</v>
      </c>
      <c r="B171" s="5" t="s">
        <v>394</v>
      </c>
      <c r="C171" s="5" t="s">
        <v>43</v>
      </c>
      <c r="D171" s="5" t="s">
        <v>71</v>
      </c>
      <c r="E171" s="16">
        <v>45374</v>
      </c>
      <c r="F171" s="16">
        <v>45407</v>
      </c>
      <c r="G171" s="16">
        <v>45383</v>
      </c>
      <c r="H171" s="5" t="s">
        <v>44</v>
      </c>
      <c r="I171" s="5" t="s">
        <v>36</v>
      </c>
      <c r="J171" s="5" t="s">
        <v>88</v>
      </c>
      <c r="K171" s="5" t="s">
        <v>114</v>
      </c>
      <c r="L171" s="5" t="s">
        <v>396</v>
      </c>
      <c r="M171" s="5" t="s">
        <v>30</v>
      </c>
      <c r="N171" s="5" t="s">
        <v>61</v>
      </c>
      <c r="O171" s="5">
        <v>6</v>
      </c>
      <c r="P171" s="7">
        <v>6762</v>
      </c>
      <c r="Q171" s="7">
        <v>6621</v>
      </c>
      <c r="R171" s="17">
        <v>1</v>
      </c>
      <c r="S171">
        <f t="shared" si="10"/>
        <v>33</v>
      </c>
      <c r="T171">
        <f t="shared" si="11"/>
        <v>6762</v>
      </c>
      <c r="U171" t="str">
        <f t="shared" si="12"/>
        <v>No</v>
      </c>
      <c r="V171">
        <f t="shared" si="13"/>
        <v>0</v>
      </c>
      <c r="W171" t="str">
        <f t="shared" si="14"/>
        <v>Yes</v>
      </c>
    </row>
    <row r="172" spans="1:23" x14ac:dyDescent="0.3">
      <c r="A172" s="12" t="s">
        <v>393</v>
      </c>
      <c r="B172" s="12" t="s">
        <v>394</v>
      </c>
      <c r="C172" s="12" t="s">
        <v>43</v>
      </c>
      <c r="D172" s="12" t="s">
        <v>79</v>
      </c>
      <c r="E172" s="13">
        <v>45374</v>
      </c>
      <c r="F172" s="13">
        <v>45655</v>
      </c>
      <c r="G172" s="13">
        <v>45627</v>
      </c>
      <c r="H172" s="12" t="s">
        <v>81</v>
      </c>
      <c r="I172" s="12" t="s">
        <v>36</v>
      </c>
      <c r="J172" s="12" t="s">
        <v>92</v>
      </c>
      <c r="K172" s="12" t="s">
        <v>116</v>
      </c>
      <c r="L172" s="12" t="s">
        <v>397</v>
      </c>
      <c r="M172" s="12" t="s">
        <v>73</v>
      </c>
      <c r="N172" s="12" t="s">
        <v>39</v>
      </c>
      <c r="O172" s="12">
        <v>28</v>
      </c>
      <c r="P172" s="14">
        <v>4093</v>
      </c>
      <c r="Q172" s="14">
        <v>0</v>
      </c>
      <c r="R172" s="15">
        <v>0.66</v>
      </c>
      <c r="S172">
        <f t="shared" si="10"/>
        <v>281</v>
      </c>
      <c r="T172">
        <f t="shared" si="11"/>
        <v>2701.38</v>
      </c>
      <c r="U172" t="str">
        <f t="shared" si="12"/>
        <v>No</v>
      </c>
      <c r="V172">
        <f t="shared" si="13"/>
        <v>0</v>
      </c>
      <c r="W172" t="str">
        <f t="shared" si="14"/>
        <v>No</v>
      </c>
    </row>
    <row r="173" spans="1:23" x14ac:dyDescent="0.3">
      <c r="A173" s="5" t="s">
        <v>398</v>
      </c>
      <c r="B173" s="5" t="s">
        <v>399</v>
      </c>
      <c r="C173" s="5" t="s">
        <v>59</v>
      </c>
      <c r="D173" s="5" t="s">
        <v>75</v>
      </c>
      <c r="E173" s="16">
        <v>45497</v>
      </c>
      <c r="F173" s="16">
        <v>45530</v>
      </c>
      <c r="G173" s="16">
        <v>45505</v>
      </c>
      <c r="H173" s="5" t="s">
        <v>65</v>
      </c>
      <c r="I173" s="5" t="s">
        <v>48</v>
      </c>
      <c r="J173" s="5" t="s">
        <v>88</v>
      </c>
      <c r="K173" s="5" t="s">
        <v>112</v>
      </c>
      <c r="L173" s="5" t="s">
        <v>400</v>
      </c>
      <c r="M173" s="5" t="s">
        <v>30</v>
      </c>
      <c r="N173" s="5" t="s">
        <v>39</v>
      </c>
      <c r="O173" s="5">
        <v>20</v>
      </c>
      <c r="P173" s="7">
        <v>9027</v>
      </c>
      <c r="Q173" s="7">
        <v>8655</v>
      </c>
      <c r="R173" s="17">
        <v>1</v>
      </c>
      <c r="S173">
        <f t="shared" si="10"/>
        <v>33</v>
      </c>
      <c r="T173">
        <f t="shared" si="11"/>
        <v>9027</v>
      </c>
      <c r="U173" t="str">
        <f t="shared" si="12"/>
        <v>No</v>
      </c>
      <c r="V173">
        <f t="shared" si="13"/>
        <v>0</v>
      </c>
      <c r="W173" t="str">
        <f t="shared" si="14"/>
        <v>Yes</v>
      </c>
    </row>
    <row r="174" spans="1:23" x14ac:dyDescent="0.3">
      <c r="A174" s="12" t="s">
        <v>398</v>
      </c>
      <c r="B174" s="12" t="s">
        <v>399</v>
      </c>
      <c r="C174" s="12" t="s">
        <v>59</v>
      </c>
      <c r="D174" s="12" t="s">
        <v>67</v>
      </c>
      <c r="E174" s="13">
        <v>45497</v>
      </c>
      <c r="F174" s="13">
        <v>45904</v>
      </c>
      <c r="G174" s="13">
        <v>45901</v>
      </c>
      <c r="H174" s="12" t="s">
        <v>98</v>
      </c>
      <c r="I174" s="12" t="s">
        <v>48</v>
      </c>
      <c r="J174" s="12" t="s">
        <v>92</v>
      </c>
      <c r="K174" s="12" t="s">
        <v>114</v>
      </c>
      <c r="L174" s="12" t="s">
        <v>401</v>
      </c>
      <c r="M174" s="12" t="s">
        <v>77</v>
      </c>
      <c r="N174" s="12" t="s">
        <v>61</v>
      </c>
      <c r="O174" s="12">
        <v>10</v>
      </c>
      <c r="P174" s="14">
        <v>4949</v>
      </c>
      <c r="Q174" s="14">
        <v>0</v>
      </c>
      <c r="R174" s="15">
        <v>0.99</v>
      </c>
      <c r="S174">
        <f t="shared" si="10"/>
        <v>407</v>
      </c>
      <c r="T174">
        <f t="shared" si="11"/>
        <v>4899.51</v>
      </c>
      <c r="U174" t="str">
        <f t="shared" si="12"/>
        <v>No</v>
      </c>
      <c r="V174">
        <f t="shared" si="13"/>
        <v>0</v>
      </c>
      <c r="W174" t="str">
        <f t="shared" si="14"/>
        <v>No</v>
      </c>
    </row>
    <row r="175" spans="1:23" x14ac:dyDescent="0.3">
      <c r="A175" s="5" t="s">
        <v>398</v>
      </c>
      <c r="B175" s="5" t="s">
        <v>399</v>
      </c>
      <c r="C175" s="5" t="s">
        <v>59</v>
      </c>
      <c r="D175" s="5" t="s">
        <v>67</v>
      </c>
      <c r="E175" s="16">
        <v>45497</v>
      </c>
      <c r="F175" s="16">
        <v>45844</v>
      </c>
      <c r="G175" s="16">
        <v>45839</v>
      </c>
      <c r="H175" s="5" t="s">
        <v>96</v>
      </c>
      <c r="I175" s="5" t="s">
        <v>48</v>
      </c>
      <c r="J175" s="5" t="s">
        <v>92</v>
      </c>
      <c r="K175" s="5" t="s">
        <v>116</v>
      </c>
      <c r="L175" s="5" t="s">
        <v>402</v>
      </c>
      <c r="M175" s="5" t="s">
        <v>77</v>
      </c>
      <c r="N175" s="5" t="s">
        <v>66</v>
      </c>
      <c r="O175" s="5">
        <v>3</v>
      </c>
      <c r="P175" s="7">
        <v>1671</v>
      </c>
      <c r="Q175" s="7">
        <v>0</v>
      </c>
      <c r="R175" s="17">
        <v>0.93</v>
      </c>
      <c r="S175">
        <f t="shared" si="10"/>
        <v>347</v>
      </c>
      <c r="T175">
        <f t="shared" si="11"/>
        <v>1554.03</v>
      </c>
      <c r="U175" t="str">
        <f t="shared" si="12"/>
        <v>No</v>
      </c>
      <c r="V175">
        <f t="shared" si="13"/>
        <v>0</v>
      </c>
      <c r="W175" t="str">
        <f t="shared" si="14"/>
        <v>No</v>
      </c>
    </row>
    <row r="176" spans="1:23" x14ac:dyDescent="0.3">
      <c r="A176" s="12" t="s">
        <v>403</v>
      </c>
      <c r="B176" s="12" t="s">
        <v>404</v>
      </c>
      <c r="C176" s="12" t="s">
        <v>31</v>
      </c>
      <c r="D176" s="12" t="s">
        <v>82</v>
      </c>
      <c r="E176" s="13">
        <v>45506</v>
      </c>
      <c r="F176" s="13">
        <v>45535</v>
      </c>
      <c r="G176" s="13">
        <v>45505</v>
      </c>
      <c r="H176" s="12" t="s">
        <v>65</v>
      </c>
      <c r="I176" s="12" t="s">
        <v>48</v>
      </c>
      <c r="J176" s="12" t="s">
        <v>88</v>
      </c>
      <c r="K176" s="12" t="s">
        <v>112</v>
      </c>
      <c r="L176" s="12" t="s">
        <v>405</v>
      </c>
      <c r="M176" s="12" t="s">
        <v>77</v>
      </c>
      <c r="N176" s="12" t="s">
        <v>51</v>
      </c>
      <c r="O176" s="12">
        <v>2</v>
      </c>
      <c r="P176" s="14">
        <v>1634</v>
      </c>
      <c r="Q176" s="14">
        <v>0</v>
      </c>
      <c r="R176" s="15">
        <v>0.47</v>
      </c>
      <c r="S176">
        <f t="shared" si="10"/>
        <v>29</v>
      </c>
      <c r="T176">
        <f t="shared" si="11"/>
        <v>767.9799999999999</v>
      </c>
      <c r="U176" t="str">
        <f t="shared" si="12"/>
        <v>No</v>
      </c>
      <c r="V176">
        <f t="shared" si="13"/>
        <v>0</v>
      </c>
      <c r="W176" t="str">
        <f t="shared" si="14"/>
        <v>No</v>
      </c>
    </row>
    <row r="177" spans="1:23" x14ac:dyDescent="0.3">
      <c r="A177" s="5" t="s">
        <v>403</v>
      </c>
      <c r="B177" s="5" t="s">
        <v>404</v>
      </c>
      <c r="C177" s="5" t="s">
        <v>31</v>
      </c>
      <c r="D177" s="5" t="s">
        <v>46</v>
      </c>
      <c r="E177" s="16">
        <v>45506</v>
      </c>
      <c r="F177" s="16">
        <v>45497</v>
      </c>
      <c r="G177" s="16">
        <v>45474</v>
      </c>
      <c r="H177" s="5" t="s">
        <v>60</v>
      </c>
      <c r="I177" s="5" t="s">
        <v>48</v>
      </c>
      <c r="J177" s="5" t="s">
        <v>88</v>
      </c>
      <c r="K177" s="5" t="s">
        <v>114</v>
      </c>
      <c r="L177" s="5" t="s">
        <v>406</v>
      </c>
      <c r="M177" s="5" t="s">
        <v>30</v>
      </c>
      <c r="N177" s="5" t="s">
        <v>39</v>
      </c>
      <c r="O177" s="5">
        <v>34</v>
      </c>
      <c r="P177" s="7">
        <v>9178</v>
      </c>
      <c r="Q177" s="7">
        <v>8962</v>
      </c>
      <c r="R177" s="17">
        <v>1</v>
      </c>
      <c r="S177">
        <f t="shared" si="10"/>
        <v>-9</v>
      </c>
      <c r="T177">
        <f t="shared" si="11"/>
        <v>9178</v>
      </c>
      <c r="U177" t="str">
        <f t="shared" si="12"/>
        <v>No</v>
      </c>
      <c r="V177">
        <f t="shared" si="13"/>
        <v>0</v>
      </c>
      <c r="W177" t="str">
        <f t="shared" si="14"/>
        <v>Yes</v>
      </c>
    </row>
    <row r="178" spans="1:23" x14ac:dyDescent="0.3">
      <c r="A178" s="12" t="s">
        <v>403</v>
      </c>
      <c r="B178" s="12" t="s">
        <v>404</v>
      </c>
      <c r="C178" s="12" t="s">
        <v>31</v>
      </c>
      <c r="D178" s="12" t="s">
        <v>62</v>
      </c>
      <c r="E178" s="13">
        <v>45506</v>
      </c>
      <c r="F178" s="13">
        <v>45486</v>
      </c>
      <c r="G178" s="13">
        <v>45474</v>
      </c>
      <c r="H178" s="12" t="s">
        <v>60</v>
      </c>
      <c r="I178" s="12" t="s">
        <v>48</v>
      </c>
      <c r="J178" s="12" t="s">
        <v>88</v>
      </c>
      <c r="K178" s="12" t="s">
        <v>116</v>
      </c>
      <c r="L178" s="12" t="s">
        <v>407</v>
      </c>
      <c r="M178" s="12" t="s">
        <v>30</v>
      </c>
      <c r="N178" s="12" t="s">
        <v>33</v>
      </c>
      <c r="O178" s="12">
        <v>33</v>
      </c>
      <c r="P178" s="14">
        <v>5369</v>
      </c>
      <c r="Q178" s="14">
        <v>4897</v>
      </c>
      <c r="R178" s="15">
        <v>1</v>
      </c>
      <c r="S178">
        <f t="shared" si="10"/>
        <v>-20</v>
      </c>
      <c r="T178">
        <f t="shared" si="11"/>
        <v>5369</v>
      </c>
      <c r="U178" t="str">
        <f t="shared" si="12"/>
        <v>No</v>
      </c>
      <c r="V178">
        <f t="shared" si="13"/>
        <v>0</v>
      </c>
      <c r="W178" t="str">
        <f t="shared" si="14"/>
        <v>Yes</v>
      </c>
    </row>
    <row r="179" spans="1:23" x14ac:dyDescent="0.3">
      <c r="A179" s="5" t="s">
        <v>408</v>
      </c>
      <c r="B179" s="5" t="s">
        <v>409</v>
      </c>
      <c r="C179" s="5" t="s">
        <v>59</v>
      </c>
      <c r="D179" s="5" t="s">
        <v>67</v>
      </c>
      <c r="E179" s="16">
        <v>45389</v>
      </c>
      <c r="F179" s="16">
        <v>45612</v>
      </c>
      <c r="G179" s="16">
        <v>45597</v>
      </c>
      <c r="H179" s="5" t="s">
        <v>78</v>
      </c>
      <c r="I179" s="5" t="s">
        <v>48</v>
      </c>
      <c r="J179" s="5" t="s">
        <v>90</v>
      </c>
      <c r="K179" s="5" t="s">
        <v>112</v>
      </c>
      <c r="L179" s="5" t="s">
        <v>410</v>
      </c>
      <c r="M179" s="5" t="s">
        <v>77</v>
      </c>
      <c r="N179" s="5" t="s">
        <v>56</v>
      </c>
      <c r="O179" s="5">
        <v>8</v>
      </c>
      <c r="P179" s="7">
        <v>4383</v>
      </c>
      <c r="Q179" s="7">
        <v>0</v>
      </c>
      <c r="R179" s="17">
        <v>0.44</v>
      </c>
      <c r="S179">
        <f t="shared" si="10"/>
        <v>223</v>
      </c>
      <c r="T179">
        <f t="shared" si="11"/>
        <v>1928.52</v>
      </c>
      <c r="U179" t="str">
        <f t="shared" si="12"/>
        <v>No</v>
      </c>
      <c r="V179">
        <f t="shared" si="13"/>
        <v>0</v>
      </c>
      <c r="W179" t="str">
        <f t="shared" si="14"/>
        <v>No</v>
      </c>
    </row>
    <row r="180" spans="1:23" x14ac:dyDescent="0.3">
      <c r="A180" s="12" t="s">
        <v>408</v>
      </c>
      <c r="B180" s="12" t="s">
        <v>409</v>
      </c>
      <c r="C180" s="12" t="s">
        <v>59</v>
      </c>
      <c r="D180" s="12" t="s">
        <v>57</v>
      </c>
      <c r="E180" s="13">
        <v>45389</v>
      </c>
      <c r="F180" s="13">
        <v>45560</v>
      </c>
      <c r="G180" s="13">
        <v>45536</v>
      </c>
      <c r="H180" s="12" t="s">
        <v>69</v>
      </c>
      <c r="I180" s="12" t="s">
        <v>48</v>
      </c>
      <c r="J180" s="12" t="s">
        <v>88</v>
      </c>
      <c r="K180" s="12" t="s">
        <v>114</v>
      </c>
      <c r="L180" s="12" t="s">
        <v>411</v>
      </c>
      <c r="M180" s="12" t="s">
        <v>30</v>
      </c>
      <c r="N180" s="12" t="s">
        <v>39</v>
      </c>
      <c r="O180" s="12">
        <v>5</v>
      </c>
      <c r="P180" s="14">
        <v>9106</v>
      </c>
      <c r="Q180" s="14">
        <v>8788</v>
      </c>
      <c r="R180" s="15">
        <v>1</v>
      </c>
      <c r="S180">
        <f t="shared" si="10"/>
        <v>171</v>
      </c>
      <c r="T180">
        <f t="shared" si="11"/>
        <v>9106</v>
      </c>
      <c r="U180" t="str">
        <f t="shared" si="12"/>
        <v>No</v>
      </c>
      <c r="V180">
        <f t="shared" si="13"/>
        <v>0</v>
      </c>
      <c r="W180" t="str">
        <f t="shared" si="14"/>
        <v>Yes</v>
      </c>
    </row>
    <row r="181" spans="1:23" x14ac:dyDescent="0.3">
      <c r="A181" s="5" t="s">
        <v>408</v>
      </c>
      <c r="B181" s="5" t="s">
        <v>409</v>
      </c>
      <c r="C181" s="5" t="s">
        <v>59</v>
      </c>
      <c r="D181" s="5" t="s">
        <v>84</v>
      </c>
      <c r="E181" s="16">
        <v>45389</v>
      </c>
      <c r="F181" s="16">
        <v>45591</v>
      </c>
      <c r="G181" s="16">
        <v>45566</v>
      </c>
      <c r="H181" s="5" t="s">
        <v>74</v>
      </c>
      <c r="I181" s="5" t="s">
        <v>48</v>
      </c>
      <c r="J181" s="5" t="s">
        <v>88</v>
      </c>
      <c r="K181" s="5" t="s">
        <v>116</v>
      </c>
      <c r="L181" s="5" t="s">
        <v>412</v>
      </c>
      <c r="M181" s="5" t="s">
        <v>73</v>
      </c>
      <c r="N181" s="5" t="s">
        <v>61</v>
      </c>
      <c r="O181" s="5">
        <v>34</v>
      </c>
      <c r="P181" s="7">
        <v>7376</v>
      </c>
      <c r="Q181" s="7">
        <v>0</v>
      </c>
      <c r="R181" s="17">
        <v>0.37</v>
      </c>
      <c r="S181">
        <f t="shared" si="10"/>
        <v>202</v>
      </c>
      <c r="T181">
        <f t="shared" si="11"/>
        <v>2729.12</v>
      </c>
      <c r="U181" t="str">
        <f t="shared" si="12"/>
        <v>No</v>
      </c>
      <c r="V181">
        <f t="shared" si="13"/>
        <v>0</v>
      </c>
      <c r="W181" t="str">
        <f t="shared" si="14"/>
        <v>No</v>
      </c>
    </row>
    <row r="182" spans="1:23" x14ac:dyDescent="0.3">
      <c r="A182" s="12" t="s">
        <v>413</v>
      </c>
      <c r="B182" s="12" t="s">
        <v>414</v>
      </c>
      <c r="C182" s="12" t="s">
        <v>31</v>
      </c>
      <c r="D182" s="12" t="s">
        <v>67</v>
      </c>
      <c r="E182" s="13">
        <v>45457</v>
      </c>
      <c r="F182" s="13">
        <v>45782</v>
      </c>
      <c r="G182" s="13">
        <v>45778</v>
      </c>
      <c r="H182" s="12" t="s">
        <v>93</v>
      </c>
      <c r="I182" s="12" t="s">
        <v>48</v>
      </c>
      <c r="J182" s="12" t="s">
        <v>92</v>
      </c>
      <c r="K182" s="12" t="s">
        <v>112</v>
      </c>
      <c r="L182" s="12" t="s">
        <v>415</v>
      </c>
      <c r="M182" s="12" t="s">
        <v>77</v>
      </c>
      <c r="N182" s="12" t="s">
        <v>61</v>
      </c>
      <c r="O182" s="12">
        <v>31</v>
      </c>
      <c r="P182" s="14">
        <v>4564</v>
      </c>
      <c r="Q182" s="14">
        <v>0</v>
      </c>
      <c r="R182" s="15">
        <v>0.84</v>
      </c>
      <c r="S182">
        <f t="shared" si="10"/>
        <v>325</v>
      </c>
      <c r="T182">
        <f t="shared" si="11"/>
        <v>3833.7599999999998</v>
      </c>
      <c r="U182" t="str">
        <f t="shared" si="12"/>
        <v>No</v>
      </c>
      <c r="V182">
        <f t="shared" si="13"/>
        <v>0</v>
      </c>
      <c r="W182" t="str">
        <f t="shared" si="14"/>
        <v>No</v>
      </c>
    </row>
    <row r="183" spans="1:23" x14ac:dyDescent="0.3">
      <c r="A183" s="5" t="s">
        <v>413</v>
      </c>
      <c r="B183" s="5" t="s">
        <v>414</v>
      </c>
      <c r="C183" s="5" t="s">
        <v>31</v>
      </c>
      <c r="D183" s="5" t="s">
        <v>75</v>
      </c>
      <c r="E183" s="16">
        <v>45457</v>
      </c>
      <c r="F183" s="16">
        <v>45798</v>
      </c>
      <c r="G183" s="16">
        <v>45778</v>
      </c>
      <c r="H183" s="5" t="s">
        <v>93</v>
      </c>
      <c r="I183" s="5" t="s">
        <v>48</v>
      </c>
      <c r="J183" s="5" t="s">
        <v>90</v>
      </c>
      <c r="K183" s="5" t="s">
        <v>114</v>
      </c>
      <c r="L183" s="5" t="s">
        <v>416</v>
      </c>
      <c r="M183" s="5" t="s">
        <v>73</v>
      </c>
      <c r="N183" s="5" t="s">
        <v>45</v>
      </c>
      <c r="O183" s="5">
        <v>34</v>
      </c>
      <c r="P183" s="7">
        <v>6685</v>
      </c>
      <c r="Q183" s="7">
        <v>0</v>
      </c>
      <c r="R183" s="17">
        <v>0.25</v>
      </c>
      <c r="S183">
        <f t="shared" si="10"/>
        <v>341</v>
      </c>
      <c r="T183">
        <f t="shared" si="11"/>
        <v>1671.25</v>
      </c>
      <c r="U183" t="str">
        <f t="shared" si="12"/>
        <v>No</v>
      </c>
      <c r="V183">
        <f t="shared" si="13"/>
        <v>0</v>
      </c>
      <c r="W183" t="str">
        <f t="shared" si="14"/>
        <v>No</v>
      </c>
    </row>
    <row r="184" spans="1:23" x14ac:dyDescent="0.3">
      <c r="A184" s="12" t="s">
        <v>413</v>
      </c>
      <c r="B184" s="12" t="s">
        <v>414</v>
      </c>
      <c r="C184" s="12" t="s">
        <v>31</v>
      </c>
      <c r="D184" s="12" t="s">
        <v>75</v>
      </c>
      <c r="E184" s="13">
        <v>45457</v>
      </c>
      <c r="F184" s="13">
        <v>45907</v>
      </c>
      <c r="G184" s="13">
        <v>45901</v>
      </c>
      <c r="H184" s="12" t="s">
        <v>98</v>
      </c>
      <c r="I184" s="12" t="s">
        <v>48</v>
      </c>
      <c r="J184" s="12" t="s">
        <v>90</v>
      </c>
      <c r="K184" s="12" t="s">
        <v>116</v>
      </c>
      <c r="L184" s="12" t="s">
        <v>417</v>
      </c>
      <c r="M184" s="12" t="s">
        <v>73</v>
      </c>
      <c r="N184" s="12" t="s">
        <v>45</v>
      </c>
      <c r="O184" s="12">
        <v>36</v>
      </c>
      <c r="P184" s="14">
        <v>3548</v>
      </c>
      <c r="Q184" s="14">
        <v>0</v>
      </c>
      <c r="R184" s="15">
        <v>0</v>
      </c>
      <c r="S184">
        <f t="shared" si="10"/>
        <v>450</v>
      </c>
      <c r="T184">
        <f t="shared" si="11"/>
        <v>0</v>
      </c>
      <c r="U184" t="str">
        <f t="shared" si="12"/>
        <v>No</v>
      </c>
      <c r="V184">
        <f t="shared" si="13"/>
        <v>0</v>
      </c>
      <c r="W184" t="str">
        <f t="shared" si="14"/>
        <v>No</v>
      </c>
    </row>
    <row r="185" spans="1:23" x14ac:dyDescent="0.3">
      <c r="A185" s="5" t="s">
        <v>418</v>
      </c>
      <c r="B185" s="5" t="s">
        <v>419</v>
      </c>
      <c r="C185" s="5" t="s">
        <v>37</v>
      </c>
      <c r="D185" s="5" t="s">
        <v>84</v>
      </c>
      <c r="E185" s="16">
        <v>45500</v>
      </c>
      <c r="F185" s="16">
        <v>45740</v>
      </c>
      <c r="G185" s="16">
        <v>45717</v>
      </c>
      <c r="H185" s="5" t="s">
        <v>89</v>
      </c>
      <c r="I185" s="5" t="s">
        <v>48</v>
      </c>
      <c r="J185" s="5" t="s">
        <v>88</v>
      </c>
      <c r="K185" s="5" t="s">
        <v>112</v>
      </c>
      <c r="L185" s="5" t="s">
        <v>420</v>
      </c>
      <c r="M185" s="5" t="s">
        <v>77</v>
      </c>
      <c r="N185" s="5" t="s">
        <v>45</v>
      </c>
      <c r="O185" s="5">
        <v>11</v>
      </c>
      <c r="P185" s="7">
        <v>5997</v>
      </c>
      <c r="Q185" s="7">
        <v>0</v>
      </c>
      <c r="R185" s="17">
        <v>0.11</v>
      </c>
      <c r="S185">
        <f t="shared" si="10"/>
        <v>240</v>
      </c>
      <c r="T185">
        <f t="shared" si="11"/>
        <v>659.67</v>
      </c>
      <c r="U185" t="str">
        <f t="shared" si="12"/>
        <v>No</v>
      </c>
      <c r="V185">
        <f t="shared" si="13"/>
        <v>0</v>
      </c>
      <c r="W185" t="str">
        <f t="shared" si="14"/>
        <v>No</v>
      </c>
    </row>
    <row r="186" spans="1:23" x14ac:dyDescent="0.3">
      <c r="A186" s="12" t="s">
        <v>418</v>
      </c>
      <c r="B186" s="12" t="s">
        <v>419</v>
      </c>
      <c r="C186" s="12" t="s">
        <v>37</v>
      </c>
      <c r="D186" s="12" t="s">
        <v>71</v>
      </c>
      <c r="E186" s="13">
        <v>45500</v>
      </c>
      <c r="F186" s="13">
        <v>45560</v>
      </c>
      <c r="G186" s="13">
        <v>45536</v>
      </c>
      <c r="H186" s="12" t="s">
        <v>69</v>
      </c>
      <c r="I186" s="12" t="s">
        <v>48</v>
      </c>
      <c r="J186" s="12" t="s">
        <v>88</v>
      </c>
      <c r="K186" s="12" t="s">
        <v>114</v>
      </c>
      <c r="L186" s="12" t="s">
        <v>421</v>
      </c>
      <c r="M186" s="12" t="s">
        <v>30</v>
      </c>
      <c r="N186" s="12" t="s">
        <v>33</v>
      </c>
      <c r="O186" s="12">
        <v>16</v>
      </c>
      <c r="P186" s="14">
        <v>3180</v>
      </c>
      <c r="Q186" s="14">
        <v>3081</v>
      </c>
      <c r="R186" s="15">
        <v>1</v>
      </c>
      <c r="S186">
        <f t="shared" si="10"/>
        <v>60</v>
      </c>
      <c r="T186">
        <f t="shared" si="11"/>
        <v>3180</v>
      </c>
      <c r="U186" t="str">
        <f t="shared" si="12"/>
        <v>No</v>
      </c>
      <c r="V186">
        <f t="shared" si="13"/>
        <v>0</v>
      </c>
      <c r="W186" t="str">
        <f t="shared" si="14"/>
        <v>Yes</v>
      </c>
    </row>
    <row r="187" spans="1:23" x14ac:dyDescent="0.3">
      <c r="A187" s="5" t="s">
        <v>418</v>
      </c>
      <c r="B187" s="5" t="s">
        <v>419</v>
      </c>
      <c r="C187" s="5" t="s">
        <v>37</v>
      </c>
      <c r="D187" s="5" t="s">
        <v>71</v>
      </c>
      <c r="E187" s="16">
        <v>45500</v>
      </c>
      <c r="F187" s="16">
        <v>45710</v>
      </c>
      <c r="G187" s="16">
        <v>45689</v>
      </c>
      <c r="H187" s="5" t="s">
        <v>86</v>
      </c>
      <c r="I187" s="5" t="s">
        <v>48</v>
      </c>
      <c r="J187" s="5" t="s">
        <v>88</v>
      </c>
      <c r="K187" s="5" t="s">
        <v>116</v>
      </c>
      <c r="L187" s="5" t="s">
        <v>422</v>
      </c>
      <c r="M187" s="5" t="s">
        <v>77</v>
      </c>
      <c r="N187" s="5" t="s">
        <v>66</v>
      </c>
      <c r="O187" s="5">
        <v>38</v>
      </c>
      <c r="P187" s="7">
        <v>2178</v>
      </c>
      <c r="Q187" s="7">
        <v>0</v>
      </c>
      <c r="R187" s="17">
        <v>0.15</v>
      </c>
      <c r="S187">
        <f t="shared" si="10"/>
        <v>210</v>
      </c>
      <c r="T187">
        <f t="shared" si="11"/>
        <v>326.7</v>
      </c>
      <c r="U187" t="str">
        <f t="shared" si="12"/>
        <v>No</v>
      </c>
      <c r="V187">
        <f t="shared" si="13"/>
        <v>0</v>
      </c>
      <c r="W187" t="str">
        <f t="shared" si="14"/>
        <v>No</v>
      </c>
    </row>
    <row r="188" spans="1:23" x14ac:dyDescent="0.3">
      <c r="A188" s="12" t="s">
        <v>423</v>
      </c>
      <c r="B188" s="12" t="s">
        <v>424</v>
      </c>
      <c r="C188" s="12" t="s">
        <v>43</v>
      </c>
      <c r="D188" s="12" t="s">
        <v>46</v>
      </c>
      <c r="E188" s="13">
        <v>45489</v>
      </c>
      <c r="F188" s="13">
        <v>45664</v>
      </c>
      <c r="G188" s="13">
        <v>45658</v>
      </c>
      <c r="H188" s="12" t="s">
        <v>83</v>
      </c>
      <c r="I188" s="12" t="s">
        <v>36</v>
      </c>
      <c r="J188" s="12" t="s">
        <v>88</v>
      </c>
      <c r="K188" s="12" t="s">
        <v>112</v>
      </c>
      <c r="L188" s="12" t="s">
        <v>425</v>
      </c>
      <c r="M188" s="12" t="s">
        <v>73</v>
      </c>
      <c r="N188" s="12" t="s">
        <v>66</v>
      </c>
      <c r="O188" s="12">
        <v>5</v>
      </c>
      <c r="P188" s="14">
        <v>2944</v>
      </c>
      <c r="Q188" s="14">
        <v>0</v>
      </c>
      <c r="R188" s="15">
        <v>0.55000000000000004</v>
      </c>
      <c r="S188">
        <f t="shared" si="10"/>
        <v>175</v>
      </c>
      <c r="T188">
        <f t="shared" si="11"/>
        <v>1619.2</v>
      </c>
      <c r="U188" t="str">
        <f t="shared" si="12"/>
        <v>No</v>
      </c>
      <c r="V188">
        <f t="shared" si="13"/>
        <v>0</v>
      </c>
      <c r="W188" t="str">
        <f t="shared" si="14"/>
        <v>No</v>
      </c>
    </row>
    <row r="189" spans="1:23" x14ac:dyDescent="0.3">
      <c r="A189" s="5" t="s">
        <v>423</v>
      </c>
      <c r="B189" s="5" t="s">
        <v>424</v>
      </c>
      <c r="C189" s="5" t="s">
        <v>43</v>
      </c>
      <c r="D189" s="5" t="s">
        <v>79</v>
      </c>
      <c r="E189" s="16">
        <v>45489</v>
      </c>
      <c r="F189" s="16">
        <v>45522</v>
      </c>
      <c r="G189" s="16">
        <v>45505</v>
      </c>
      <c r="H189" s="5" t="s">
        <v>65</v>
      </c>
      <c r="I189" s="5" t="s">
        <v>36</v>
      </c>
      <c r="J189" s="5" t="s">
        <v>88</v>
      </c>
      <c r="K189" s="5" t="s">
        <v>114</v>
      </c>
      <c r="L189" s="5" t="s">
        <v>426</v>
      </c>
      <c r="M189" s="5" t="s">
        <v>30</v>
      </c>
      <c r="N189" s="5" t="s">
        <v>51</v>
      </c>
      <c r="O189" s="5">
        <v>31</v>
      </c>
      <c r="P189" s="7">
        <v>7376</v>
      </c>
      <c r="Q189" s="7">
        <v>6945</v>
      </c>
      <c r="R189" s="17">
        <v>1</v>
      </c>
      <c r="S189">
        <f t="shared" si="10"/>
        <v>33</v>
      </c>
      <c r="T189">
        <f t="shared" si="11"/>
        <v>7376</v>
      </c>
      <c r="U189" t="str">
        <f t="shared" si="12"/>
        <v>No</v>
      </c>
      <c r="V189">
        <f t="shared" si="13"/>
        <v>0</v>
      </c>
      <c r="W189" t="str">
        <f t="shared" si="14"/>
        <v>Yes</v>
      </c>
    </row>
    <row r="190" spans="1:23" x14ac:dyDescent="0.3">
      <c r="A190" s="12" t="s">
        <v>423</v>
      </c>
      <c r="B190" s="12" t="s">
        <v>424</v>
      </c>
      <c r="C190" s="12" t="s">
        <v>43</v>
      </c>
      <c r="D190" s="12" t="s">
        <v>87</v>
      </c>
      <c r="E190" s="13">
        <v>45489</v>
      </c>
      <c r="F190" s="13">
        <v>45758</v>
      </c>
      <c r="G190" s="13">
        <v>45748</v>
      </c>
      <c r="H190" s="12" t="s">
        <v>91</v>
      </c>
      <c r="I190" s="12" t="s">
        <v>36</v>
      </c>
      <c r="J190" s="12" t="s">
        <v>92</v>
      </c>
      <c r="K190" s="12" t="s">
        <v>116</v>
      </c>
      <c r="L190" s="12" t="s">
        <v>427</v>
      </c>
      <c r="M190" s="12" t="s">
        <v>73</v>
      </c>
      <c r="N190" s="12" t="s">
        <v>66</v>
      </c>
      <c r="O190" s="12">
        <v>2</v>
      </c>
      <c r="P190" s="14">
        <v>6433</v>
      </c>
      <c r="Q190" s="14">
        <v>0</v>
      </c>
      <c r="R190" s="15">
        <v>0.68</v>
      </c>
      <c r="S190">
        <f t="shared" si="10"/>
        <v>269</v>
      </c>
      <c r="T190">
        <f t="shared" si="11"/>
        <v>4374.4400000000005</v>
      </c>
      <c r="U190" t="str">
        <f t="shared" si="12"/>
        <v>No</v>
      </c>
      <c r="V190">
        <f t="shared" si="13"/>
        <v>0</v>
      </c>
      <c r="W190" t="str">
        <f t="shared" si="14"/>
        <v>No</v>
      </c>
    </row>
    <row r="191" spans="1:23" x14ac:dyDescent="0.3">
      <c r="A191" s="5" t="s">
        <v>428</v>
      </c>
      <c r="B191" s="5" t="s">
        <v>429</v>
      </c>
      <c r="C191" s="5" t="s">
        <v>49</v>
      </c>
      <c r="D191" s="5" t="s">
        <v>57</v>
      </c>
      <c r="E191" s="16">
        <v>45465</v>
      </c>
      <c r="F191" s="16">
        <v>45560</v>
      </c>
      <c r="G191" s="16">
        <v>45536</v>
      </c>
      <c r="H191" s="5" t="s">
        <v>69</v>
      </c>
      <c r="I191" s="5" t="s">
        <v>42</v>
      </c>
      <c r="J191" s="5" t="s">
        <v>92</v>
      </c>
      <c r="K191" s="5" t="s">
        <v>112</v>
      </c>
      <c r="L191" s="5" t="s">
        <v>430</v>
      </c>
      <c r="M191" s="5" t="s">
        <v>30</v>
      </c>
      <c r="N191" s="5" t="s">
        <v>51</v>
      </c>
      <c r="O191" s="5">
        <v>30</v>
      </c>
      <c r="P191" s="7">
        <v>5551</v>
      </c>
      <c r="Q191" s="7">
        <v>5315</v>
      </c>
      <c r="R191" s="17">
        <v>1</v>
      </c>
      <c r="S191">
        <f t="shared" si="10"/>
        <v>95</v>
      </c>
      <c r="T191">
        <f t="shared" si="11"/>
        <v>5551</v>
      </c>
      <c r="U191" t="str">
        <f t="shared" si="12"/>
        <v>No</v>
      </c>
      <c r="V191">
        <f t="shared" si="13"/>
        <v>0</v>
      </c>
      <c r="W191" t="str">
        <f t="shared" si="14"/>
        <v>Yes</v>
      </c>
    </row>
    <row r="192" spans="1:23" x14ac:dyDescent="0.3">
      <c r="A192" s="12" t="s">
        <v>428</v>
      </c>
      <c r="B192" s="12" t="s">
        <v>429</v>
      </c>
      <c r="C192" s="12" t="s">
        <v>49</v>
      </c>
      <c r="D192" s="12" t="s">
        <v>52</v>
      </c>
      <c r="E192" s="13">
        <v>45465</v>
      </c>
      <c r="F192" s="13">
        <v>45498</v>
      </c>
      <c r="G192" s="13">
        <v>45474</v>
      </c>
      <c r="H192" s="12" t="s">
        <v>60</v>
      </c>
      <c r="I192" s="12" t="s">
        <v>42</v>
      </c>
      <c r="J192" s="12" t="s">
        <v>90</v>
      </c>
      <c r="K192" s="12" t="s">
        <v>114</v>
      </c>
      <c r="L192" s="12" t="s">
        <v>431</v>
      </c>
      <c r="M192" s="12" t="s">
        <v>30</v>
      </c>
      <c r="N192" s="12" t="s">
        <v>56</v>
      </c>
      <c r="O192" s="12">
        <v>6</v>
      </c>
      <c r="P192" s="14">
        <v>9127</v>
      </c>
      <c r="Q192" s="14">
        <v>8751</v>
      </c>
      <c r="R192" s="15">
        <v>1</v>
      </c>
      <c r="S192">
        <f t="shared" si="10"/>
        <v>33</v>
      </c>
      <c r="T192">
        <f t="shared" si="11"/>
        <v>9127</v>
      </c>
      <c r="U192" t="str">
        <f t="shared" si="12"/>
        <v>No</v>
      </c>
      <c r="V192">
        <f t="shared" si="13"/>
        <v>0</v>
      </c>
      <c r="W192" t="str">
        <f t="shared" si="14"/>
        <v>Yes</v>
      </c>
    </row>
    <row r="193" spans="1:23" x14ac:dyDescent="0.3">
      <c r="A193" s="5" t="s">
        <v>428</v>
      </c>
      <c r="B193" s="5" t="s">
        <v>429</v>
      </c>
      <c r="C193" s="5" t="s">
        <v>49</v>
      </c>
      <c r="D193" s="5" t="s">
        <v>34</v>
      </c>
      <c r="E193" s="16">
        <v>45465</v>
      </c>
      <c r="F193" s="16">
        <v>45560</v>
      </c>
      <c r="G193" s="16">
        <v>45536</v>
      </c>
      <c r="H193" s="5" t="s">
        <v>69</v>
      </c>
      <c r="I193" s="5" t="s">
        <v>42</v>
      </c>
      <c r="J193" s="5" t="s">
        <v>88</v>
      </c>
      <c r="K193" s="5" t="s">
        <v>116</v>
      </c>
      <c r="L193" s="5" t="s">
        <v>432</v>
      </c>
      <c r="M193" s="5" t="s">
        <v>30</v>
      </c>
      <c r="N193" s="5" t="s">
        <v>33</v>
      </c>
      <c r="O193" s="5">
        <v>40</v>
      </c>
      <c r="P193" s="7">
        <v>9168</v>
      </c>
      <c r="Q193" s="7">
        <v>9025</v>
      </c>
      <c r="R193" s="17">
        <v>1</v>
      </c>
      <c r="S193">
        <f t="shared" si="10"/>
        <v>95</v>
      </c>
      <c r="T193">
        <f t="shared" si="11"/>
        <v>9168</v>
      </c>
      <c r="U193" t="str">
        <f t="shared" si="12"/>
        <v>No</v>
      </c>
      <c r="V193">
        <f t="shared" si="13"/>
        <v>0</v>
      </c>
      <c r="W193" t="str">
        <f t="shared" si="14"/>
        <v>Yes</v>
      </c>
    </row>
    <row r="194" spans="1:23" x14ac:dyDescent="0.3">
      <c r="A194" s="12" t="s">
        <v>433</v>
      </c>
      <c r="B194" s="12" t="s">
        <v>434</v>
      </c>
      <c r="C194" s="12" t="s">
        <v>54</v>
      </c>
      <c r="D194" s="12" t="s">
        <v>71</v>
      </c>
      <c r="E194" s="13">
        <v>45444</v>
      </c>
      <c r="F194" s="13">
        <v>45330</v>
      </c>
      <c r="G194" s="13">
        <v>45323</v>
      </c>
      <c r="H194" s="12" t="s">
        <v>32</v>
      </c>
      <c r="I194" s="12" t="s">
        <v>36</v>
      </c>
      <c r="J194" s="12" t="s">
        <v>88</v>
      </c>
      <c r="K194" s="12" t="s">
        <v>112</v>
      </c>
      <c r="L194" s="12" t="s">
        <v>435</v>
      </c>
      <c r="M194" s="12" t="s">
        <v>30</v>
      </c>
      <c r="N194" s="12" t="s">
        <v>45</v>
      </c>
      <c r="O194" s="12">
        <v>18</v>
      </c>
      <c r="P194" s="14">
        <v>2284</v>
      </c>
      <c r="Q194" s="14">
        <v>2142</v>
      </c>
      <c r="R194" s="15">
        <v>1</v>
      </c>
      <c r="S194">
        <f t="shared" si="10"/>
        <v>-114</v>
      </c>
      <c r="T194">
        <f t="shared" si="11"/>
        <v>2284</v>
      </c>
      <c r="U194" t="str">
        <f t="shared" si="12"/>
        <v>No</v>
      </c>
      <c r="V194">
        <f t="shared" si="13"/>
        <v>0</v>
      </c>
      <c r="W194" t="str">
        <f t="shared" si="14"/>
        <v>Yes</v>
      </c>
    </row>
    <row r="195" spans="1:23" x14ac:dyDescent="0.3">
      <c r="A195" s="5" t="s">
        <v>433</v>
      </c>
      <c r="B195" s="5" t="s">
        <v>434</v>
      </c>
      <c r="C195" s="5" t="s">
        <v>54</v>
      </c>
      <c r="D195" s="5" t="s">
        <v>87</v>
      </c>
      <c r="E195" s="16">
        <v>45444</v>
      </c>
      <c r="F195" s="16">
        <v>45590</v>
      </c>
      <c r="G195" s="16">
        <v>45566</v>
      </c>
      <c r="H195" s="5" t="s">
        <v>74</v>
      </c>
      <c r="I195" s="5" t="s">
        <v>36</v>
      </c>
      <c r="J195" s="5" t="s">
        <v>90</v>
      </c>
      <c r="K195" s="5" t="s">
        <v>114</v>
      </c>
      <c r="L195" s="5" t="s">
        <v>436</v>
      </c>
      <c r="M195" s="5" t="s">
        <v>73</v>
      </c>
      <c r="N195" s="5" t="s">
        <v>51</v>
      </c>
      <c r="O195" s="5">
        <v>26</v>
      </c>
      <c r="P195" s="7">
        <v>4973</v>
      </c>
      <c r="Q195" s="7">
        <v>0</v>
      </c>
      <c r="R195" s="17">
        <v>0.41</v>
      </c>
      <c r="S195">
        <f t="shared" ref="S195:S258" si="15">F195-E195</f>
        <v>146</v>
      </c>
      <c r="T195">
        <f t="shared" ref="T195:T258" si="16">R195*P195</f>
        <v>2038.9299999999998</v>
      </c>
      <c r="U195" t="str">
        <f t="shared" ref="U195:U258" si="17">IF(AND(Q195&gt;0,Q195&gt;P195),"Yes","No")</f>
        <v>No</v>
      </c>
      <c r="V195">
        <f t="shared" ref="V195:V258" si="18">IF(U195="Yes",Q195-P195,0)</f>
        <v>0</v>
      </c>
      <c r="W195" t="str">
        <f t="shared" ref="W195:W258" si="19">IF(Q195&gt;0,"Yes","No")</f>
        <v>No</v>
      </c>
    </row>
    <row r="196" spans="1:23" x14ac:dyDescent="0.3">
      <c r="A196" s="12" t="s">
        <v>433</v>
      </c>
      <c r="B196" s="12" t="s">
        <v>434</v>
      </c>
      <c r="C196" s="12" t="s">
        <v>54</v>
      </c>
      <c r="D196" s="12" t="s">
        <v>82</v>
      </c>
      <c r="E196" s="13">
        <v>45444</v>
      </c>
      <c r="F196" s="13">
        <v>45565</v>
      </c>
      <c r="G196" s="13">
        <v>45536</v>
      </c>
      <c r="H196" s="12" t="s">
        <v>69</v>
      </c>
      <c r="I196" s="12" t="s">
        <v>36</v>
      </c>
      <c r="J196" s="12" t="s">
        <v>88</v>
      </c>
      <c r="K196" s="12" t="s">
        <v>116</v>
      </c>
      <c r="L196" s="12" t="s">
        <v>437</v>
      </c>
      <c r="M196" s="12" t="s">
        <v>77</v>
      </c>
      <c r="N196" s="12" t="s">
        <v>39</v>
      </c>
      <c r="O196" s="12">
        <v>26</v>
      </c>
      <c r="P196" s="14">
        <v>7992</v>
      </c>
      <c r="Q196" s="14">
        <v>0</v>
      </c>
      <c r="R196" s="15">
        <v>0.6</v>
      </c>
      <c r="S196">
        <f t="shared" si="15"/>
        <v>121</v>
      </c>
      <c r="T196">
        <f t="shared" si="16"/>
        <v>4795.2</v>
      </c>
      <c r="U196" t="str">
        <f t="shared" si="17"/>
        <v>No</v>
      </c>
      <c r="V196">
        <f t="shared" si="18"/>
        <v>0</v>
      </c>
      <c r="W196" t="str">
        <f t="shared" si="19"/>
        <v>No</v>
      </c>
    </row>
    <row r="197" spans="1:23" x14ac:dyDescent="0.3">
      <c r="A197" s="5" t="s">
        <v>438</v>
      </c>
      <c r="B197" s="5" t="s">
        <v>439</v>
      </c>
      <c r="C197" s="5" t="s">
        <v>31</v>
      </c>
      <c r="D197" s="5" t="s">
        <v>67</v>
      </c>
      <c r="E197" s="16">
        <v>45387</v>
      </c>
      <c r="F197" s="16">
        <v>45619</v>
      </c>
      <c r="G197" s="16">
        <v>45597</v>
      </c>
      <c r="H197" s="5" t="s">
        <v>78</v>
      </c>
      <c r="I197" s="5" t="s">
        <v>30</v>
      </c>
      <c r="J197" s="5" t="s">
        <v>88</v>
      </c>
      <c r="K197" s="5" t="s">
        <v>112</v>
      </c>
      <c r="L197" s="5" t="s">
        <v>440</v>
      </c>
      <c r="M197" s="5" t="s">
        <v>73</v>
      </c>
      <c r="N197" s="5" t="s">
        <v>39</v>
      </c>
      <c r="O197" s="5">
        <v>32</v>
      </c>
      <c r="P197" s="7">
        <v>3669</v>
      </c>
      <c r="Q197" s="7">
        <v>0</v>
      </c>
      <c r="R197" s="17">
        <v>0.53</v>
      </c>
      <c r="S197">
        <f t="shared" si="15"/>
        <v>232</v>
      </c>
      <c r="T197">
        <f t="shared" si="16"/>
        <v>1944.5700000000002</v>
      </c>
      <c r="U197" t="str">
        <f t="shared" si="17"/>
        <v>No</v>
      </c>
      <c r="V197">
        <f t="shared" si="18"/>
        <v>0</v>
      </c>
      <c r="W197" t="str">
        <f t="shared" si="19"/>
        <v>No</v>
      </c>
    </row>
    <row r="198" spans="1:23" x14ac:dyDescent="0.3">
      <c r="A198" s="12" t="s">
        <v>438</v>
      </c>
      <c r="B198" s="12" t="s">
        <v>439</v>
      </c>
      <c r="C198" s="12" t="s">
        <v>31</v>
      </c>
      <c r="D198" s="12" t="s">
        <v>67</v>
      </c>
      <c r="E198" s="13">
        <v>45387</v>
      </c>
      <c r="F198" s="13">
        <v>45602</v>
      </c>
      <c r="G198" s="13">
        <v>45597</v>
      </c>
      <c r="H198" s="12" t="s">
        <v>78</v>
      </c>
      <c r="I198" s="12" t="s">
        <v>30</v>
      </c>
      <c r="J198" s="12" t="s">
        <v>88</v>
      </c>
      <c r="K198" s="12" t="s">
        <v>114</v>
      </c>
      <c r="L198" s="12" t="s">
        <v>441</v>
      </c>
      <c r="M198" s="12" t="s">
        <v>77</v>
      </c>
      <c r="N198" s="12" t="s">
        <v>70</v>
      </c>
      <c r="O198" s="12">
        <v>20</v>
      </c>
      <c r="P198" s="14">
        <v>6395</v>
      </c>
      <c r="Q198" s="14">
        <v>0</v>
      </c>
      <c r="R198" s="15">
        <v>0.55000000000000004</v>
      </c>
      <c r="S198">
        <f t="shared" si="15"/>
        <v>215</v>
      </c>
      <c r="T198">
        <f t="shared" si="16"/>
        <v>3517.2500000000005</v>
      </c>
      <c r="U198" t="str">
        <f t="shared" si="17"/>
        <v>No</v>
      </c>
      <c r="V198">
        <f t="shared" si="18"/>
        <v>0</v>
      </c>
      <c r="W198" t="str">
        <f t="shared" si="19"/>
        <v>No</v>
      </c>
    </row>
    <row r="199" spans="1:23" x14ac:dyDescent="0.3">
      <c r="A199" s="5" t="s">
        <v>438</v>
      </c>
      <c r="B199" s="5" t="s">
        <v>439</v>
      </c>
      <c r="C199" s="5" t="s">
        <v>31</v>
      </c>
      <c r="D199" s="5" t="s">
        <v>82</v>
      </c>
      <c r="E199" s="16">
        <v>45387</v>
      </c>
      <c r="F199" s="16">
        <v>45548</v>
      </c>
      <c r="G199" s="16">
        <v>45536</v>
      </c>
      <c r="H199" s="5" t="s">
        <v>69</v>
      </c>
      <c r="I199" s="5" t="s">
        <v>30</v>
      </c>
      <c r="J199" s="5" t="s">
        <v>90</v>
      </c>
      <c r="K199" s="5" t="s">
        <v>116</v>
      </c>
      <c r="L199" s="5" t="s">
        <v>442</v>
      </c>
      <c r="M199" s="5" t="s">
        <v>77</v>
      </c>
      <c r="N199" s="5" t="s">
        <v>56</v>
      </c>
      <c r="O199" s="5">
        <v>1</v>
      </c>
      <c r="P199" s="7">
        <v>4445</v>
      </c>
      <c r="Q199" s="7">
        <v>0</v>
      </c>
      <c r="R199" s="17">
        <v>0.61</v>
      </c>
      <c r="S199">
        <f t="shared" si="15"/>
        <v>161</v>
      </c>
      <c r="T199">
        <f t="shared" si="16"/>
        <v>2711.45</v>
      </c>
      <c r="U199" t="str">
        <f t="shared" si="17"/>
        <v>No</v>
      </c>
      <c r="V199">
        <f t="shared" si="18"/>
        <v>0</v>
      </c>
      <c r="W199" t="str">
        <f t="shared" si="19"/>
        <v>No</v>
      </c>
    </row>
    <row r="200" spans="1:23" x14ac:dyDescent="0.3">
      <c r="A200" s="12" t="s">
        <v>443</v>
      </c>
      <c r="B200" s="12" t="s">
        <v>444</v>
      </c>
      <c r="C200" s="12" t="s">
        <v>59</v>
      </c>
      <c r="D200" s="12" t="s">
        <v>84</v>
      </c>
      <c r="E200" s="13">
        <v>45321</v>
      </c>
      <c r="F200" s="13">
        <v>45669</v>
      </c>
      <c r="G200" s="13">
        <v>45658</v>
      </c>
      <c r="H200" s="12" t="s">
        <v>83</v>
      </c>
      <c r="I200" s="12" t="s">
        <v>30</v>
      </c>
      <c r="J200" s="12" t="s">
        <v>92</v>
      </c>
      <c r="K200" s="12" t="s">
        <v>112</v>
      </c>
      <c r="L200" s="12" t="s">
        <v>445</v>
      </c>
      <c r="M200" s="12" t="s">
        <v>73</v>
      </c>
      <c r="N200" s="12" t="s">
        <v>56</v>
      </c>
      <c r="O200" s="12">
        <v>10</v>
      </c>
      <c r="P200" s="14">
        <v>1599</v>
      </c>
      <c r="Q200" s="14">
        <v>0</v>
      </c>
      <c r="R200" s="15">
        <v>0.04</v>
      </c>
      <c r="S200">
        <f t="shared" si="15"/>
        <v>348</v>
      </c>
      <c r="T200">
        <f t="shared" si="16"/>
        <v>63.96</v>
      </c>
      <c r="U200" t="str">
        <f t="shared" si="17"/>
        <v>No</v>
      </c>
      <c r="V200">
        <f t="shared" si="18"/>
        <v>0</v>
      </c>
      <c r="W200" t="str">
        <f t="shared" si="19"/>
        <v>No</v>
      </c>
    </row>
    <row r="201" spans="1:23" x14ac:dyDescent="0.3">
      <c r="A201" s="5" t="s">
        <v>443</v>
      </c>
      <c r="B201" s="5" t="s">
        <v>444</v>
      </c>
      <c r="C201" s="5" t="s">
        <v>59</v>
      </c>
      <c r="D201" s="5" t="s">
        <v>57</v>
      </c>
      <c r="E201" s="16">
        <v>45321</v>
      </c>
      <c r="F201" s="16">
        <v>45652</v>
      </c>
      <c r="G201" s="16">
        <v>45627</v>
      </c>
      <c r="H201" s="5" t="s">
        <v>81</v>
      </c>
      <c r="I201" s="5" t="s">
        <v>30</v>
      </c>
      <c r="J201" s="5" t="s">
        <v>90</v>
      </c>
      <c r="K201" s="5" t="s">
        <v>114</v>
      </c>
      <c r="L201" s="5" t="s">
        <v>446</v>
      </c>
      <c r="M201" s="5" t="s">
        <v>73</v>
      </c>
      <c r="N201" s="5" t="s">
        <v>51</v>
      </c>
      <c r="O201" s="5">
        <v>4</v>
      </c>
      <c r="P201" s="7">
        <v>9597</v>
      </c>
      <c r="Q201" s="7">
        <v>0</v>
      </c>
      <c r="R201" s="17">
        <v>0.71</v>
      </c>
      <c r="S201">
        <f t="shared" si="15"/>
        <v>331</v>
      </c>
      <c r="T201">
        <f t="shared" si="16"/>
        <v>6813.87</v>
      </c>
      <c r="U201" t="str">
        <f t="shared" si="17"/>
        <v>No</v>
      </c>
      <c r="V201">
        <f t="shared" si="18"/>
        <v>0</v>
      </c>
      <c r="W201" t="str">
        <f t="shared" si="19"/>
        <v>No</v>
      </c>
    </row>
    <row r="202" spans="1:23" x14ac:dyDescent="0.3">
      <c r="A202" s="12" t="s">
        <v>443</v>
      </c>
      <c r="B202" s="12" t="s">
        <v>444</v>
      </c>
      <c r="C202" s="12" t="s">
        <v>59</v>
      </c>
      <c r="D202" s="12" t="s">
        <v>71</v>
      </c>
      <c r="E202" s="13">
        <v>45321</v>
      </c>
      <c r="F202" s="13">
        <v>45354</v>
      </c>
      <c r="G202" s="13">
        <v>45352</v>
      </c>
      <c r="H202" s="12" t="s">
        <v>38</v>
      </c>
      <c r="I202" s="12" t="s">
        <v>30</v>
      </c>
      <c r="J202" s="12" t="s">
        <v>88</v>
      </c>
      <c r="K202" s="12" t="s">
        <v>116</v>
      </c>
      <c r="L202" s="12" t="s">
        <v>447</v>
      </c>
      <c r="M202" s="12" t="s">
        <v>30</v>
      </c>
      <c r="N202" s="12" t="s">
        <v>56</v>
      </c>
      <c r="O202" s="12">
        <v>8</v>
      </c>
      <c r="P202" s="14">
        <v>2143</v>
      </c>
      <c r="Q202" s="14">
        <v>1984</v>
      </c>
      <c r="R202" s="15">
        <v>1</v>
      </c>
      <c r="S202">
        <f t="shared" si="15"/>
        <v>33</v>
      </c>
      <c r="T202">
        <f t="shared" si="16"/>
        <v>2143</v>
      </c>
      <c r="U202" t="str">
        <f t="shared" si="17"/>
        <v>No</v>
      </c>
      <c r="V202">
        <f t="shared" si="18"/>
        <v>0</v>
      </c>
      <c r="W202" t="str">
        <f t="shared" si="19"/>
        <v>Yes</v>
      </c>
    </row>
    <row r="203" spans="1:23" x14ac:dyDescent="0.3">
      <c r="A203" s="5" t="s">
        <v>448</v>
      </c>
      <c r="B203" s="5" t="s">
        <v>449</v>
      </c>
      <c r="C203" s="5" t="s">
        <v>43</v>
      </c>
      <c r="D203" s="5" t="s">
        <v>71</v>
      </c>
      <c r="E203" s="16">
        <v>45321</v>
      </c>
      <c r="F203" s="16">
        <v>45805</v>
      </c>
      <c r="G203" s="16">
        <v>45778</v>
      </c>
      <c r="H203" s="5" t="s">
        <v>93</v>
      </c>
      <c r="I203" s="5" t="s">
        <v>42</v>
      </c>
      <c r="J203" s="5" t="s">
        <v>92</v>
      </c>
      <c r="K203" s="5" t="s">
        <v>112</v>
      </c>
      <c r="L203" s="5" t="s">
        <v>450</v>
      </c>
      <c r="M203" s="5" t="s">
        <v>77</v>
      </c>
      <c r="N203" s="5" t="s">
        <v>39</v>
      </c>
      <c r="O203" s="5">
        <v>28</v>
      </c>
      <c r="P203" s="7">
        <v>6658</v>
      </c>
      <c r="Q203" s="7">
        <v>0</v>
      </c>
      <c r="R203" s="17">
        <v>0.48</v>
      </c>
      <c r="S203">
        <f t="shared" si="15"/>
        <v>484</v>
      </c>
      <c r="T203">
        <f t="shared" si="16"/>
        <v>3195.8399999999997</v>
      </c>
      <c r="U203" t="str">
        <f t="shared" si="17"/>
        <v>No</v>
      </c>
      <c r="V203">
        <f t="shared" si="18"/>
        <v>0</v>
      </c>
      <c r="W203" t="str">
        <f t="shared" si="19"/>
        <v>No</v>
      </c>
    </row>
    <row r="204" spans="1:23" x14ac:dyDescent="0.3">
      <c r="A204" s="12" t="s">
        <v>448</v>
      </c>
      <c r="B204" s="12" t="s">
        <v>449</v>
      </c>
      <c r="C204" s="12" t="s">
        <v>43</v>
      </c>
      <c r="D204" s="12" t="s">
        <v>52</v>
      </c>
      <c r="E204" s="13">
        <v>45321</v>
      </c>
      <c r="F204" s="13">
        <v>45701</v>
      </c>
      <c r="G204" s="13">
        <v>45689</v>
      </c>
      <c r="H204" s="12" t="s">
        <v>86</v>
      </c>
      <c r="I204" s="12" t="s">
        <v>42</v>
      </c>
      <c r="J204" s="12" t="s">
        <v>92</v>
      </c>
      <c r="K204" s="12" t="s">
        <v>114</v>
      </c>
      <c r="L204" s="12" t="s">
        <v>451</v>
      </c>
      <c r="M204" s="12" t="s">
        <v>77</v>
      </c>
      <c r="N204" s="12" t="s">
        <v>33</v>
      </c>
      <c r="O204" s="12">
        <v>32</v>
      </c>
      <c r="P204" s="14">
        <v>8758</v>
      </c>
      <c r="Q204" s="14">
        <v>0</v>
      </c>
      <c r="R204" s="15">
        <v>0.93</v>
      </c>
      <c r="S204">
        <f t="shared" si="15"/>
        <v>380</v>
      </c>
      <c r="T204">
        <f t="shared" si="16"/>
        <v>8144.9400000000005</v>
      </c>
      <c r="U204" t="str">
        <f t="shared" si="17"/>
        <v>No</v>
      </c>
      <c r="V204">
        <f t="shared" si="18"/>
        <v>0</v>
      </c>
      <c r="W204" t="str">
        <f t="shared" si="19"/>
        <v>No</v>
      </c>
    </row>
    <row r="205" spans="1:23" x14ac:dyDescent="0.3">
      <c r="A205" s="5" t="s">
        <v>448</v>
      </c>
      <c r="B205" s="5" t="s">
        <v>449</v>
      </c>
      <c r="C205" s="5" t="s">
        <v>43</v>
      </c>
      <c r="D205" s="5" t="s">
        <v>79</v>
      </c>
      <c r="E205" s="16">
        <v>45321</v>
      </c>
      <c r="F205" s="16">
        <v>45354</v>
      </c>
      <c r="G205" s="16">
        <v>45352</v>
      </c>
      <c r="H205" s="5" t="s">
        <v>38</v>
      </c>
      <c r="I205" s="5" t="s">
        <v>42</v>
      </c>
      <c r="J205" s="5" t="s">
        <v>88</v>
      </c>
      <c r="K205" s="5" t="s">
        <v>116</v>
      </c>
      <c r="L205" s="5" t="s">
        <v>452</v>
      </c>
      <c r="M205" s="5" t="s">
        <v>30</v>
      </c>
      <c r="N205" s="5" t="s">
        <v>33</v>
      </c>
      <c r="O205" s="5">
        <v>8</v>
      </c>
      <c r="P205" s="7">
        <v>9806</v>
      </c>
      <c r="Q205" s="7">
        <v>9477</v>
      </c>
      <c r="R205" s="17">
        <v>1</v>
      </c>
      <c r="S205">
        <f t="shared" si="15"/>
        <v>33</v>
      </c>
      <c r="T205">
        <f t="shared" si="16"/>
        <v>9806</v>
      </c>
      <c r="U205" t="str">
        <f t="shared" si="17"/>
        <v>No</v>
      </c>
      <c r="V205">
        <f t="shared" si="18"/>
        <v>0</v>
      </c>
      <c r="W205" t="str">
        <f t="shared" si="19"/>
        <v>Yes</v>
      </c>
    </row>
    <row r="206" spans="1:23" x14ac:dyDescent="0.3">
      <c r="A206" s="12" t="s">
        <v>453</v>
      </c>
      <c r="B206" s="12" t="s">
        <v>454</v>
      </c>
      <c r="C206" s="12" t="s">
        <v>59</v>
      </c>
      <c r="D206" s="12" t="s">
        <v>84</v>
      </c>
      <c r="E206" s="13">
        <v>45347</v>
      </c>
      <c r="F206" s="13">
        <v>45717</v>
      </c>
      <c r="G206" s="13">
        <v>45717</v>
      </c>
      <c r="H206" s="12" t="s">
        <v>89</v>
      </c>
      <c r="I206" s="12" t="s">
        <v>36</v>
      </c>
      <c r="J206" s="12" t="s">
        <v>88</v>
      </c>
      <c r="K206" s="12" t="s">
        <v>112</v>
      </c>
      <c r="L206" s="12" t="s">
        <v>455</v>
      </c>
      <c r="M206" s="12" t="s">
        <v>77</v>
      </c>
      <c r="N206" s="12" t="s">
        <v>33</v>
      </c>
      <c r="O206" s="12">
        <v>16</v>
      </c>
      <c r="P206" s="14">
        <v>3424</v>
      </c>
      <c r="Q206" s="14">
        <v>0</v>
      </c>
      <c r="R206" s="15">
        <v>0.28000000000000003</v>
      </c>
      <c r="S206">
        <f t="shared" si="15"/>
        <v>370</v>
      </c>
      <c r="T206">
        <f t="shared" si="16"/>
        <v>958.72000000000014</v>
      </c>
      <c r="U206" t="str">
        <f t="shared" si="17"/>
        <v>No</v>
      </c>
      <c r="V206">
        <f t="shared" si="18"/>
        <v>0</v>
      </c>
      <c r="W206" t="str">
        <f t="shared" si="19"/>
        <v>No</v>
      </c>
    </row>
    <row r="207" spans="1:23" x14ac:dyDescent="0.3">
      <c r="A207" s="5" t="s">
        <v>453</v>
      </c>
      <c r="B207" s="5" t="s">
        <v>454</v>
      </c>
      <c r="C207" s="5" t="s">
        <v>59</v>
      </c>
      <c r="D207" s="5" t="s">
        <v>82</v>
      </c>
      <c r="E207" s="16">
        <v>45347</v>
      </c>
      <c r="F207" s="16">
        <v>45883</v>
      </c>
      <c r="G207" s="16">
        <v>45870</v>
      </c>
      <c r="H207" s="5" t="s">
        <v>97</v>
      </c>
      <c r="I207" s="5" t="s">
        <v>36</v>
      </c>
      <c r="J207" s="5" t="s">
        <v>88</v>
      </c>
      <c r="K207" s="5" t="s">
        <v>114</v>
      </c>
      <c r="L207" s="5" t="s">
        <v>456</v>
      </c>
      <c r="M207" s="5" t="s">
        <v>73</v>
      </c>
      <c r="N207" s="5" t="s">
        <v>56</v>
      </c>
      <c r="O207" s="5">
        <v>36</v>
      </c>
      <c r="P207" s="7">
        <v>8166</v>
      </c>
      <c r="Q207" s="7">
        <v>0</v>
      </c>
      <c r="R207" s="17">
        <v>0.13</v>
      </c>
      <c r="S207">
        <f t="shared" si="15"/>
        <v>536</v>
      </c>
      <c r="T207">
        <f t="shared" si="16"/>
        <v>1061.58</v>
      </c>
      <c r="U207" t="str">
        <f t="shared" si="17"/>
        <v>No</v>
      </c>
      <c r="V207">
        <f t="shared" si="18"/>
        <v>0</v>
      </c>
      <c r="W207" t="str">
        <f t="shared" si="19"/>
        <v>No</v>
      </c>
    </row>
    <row r="208" spans="1:23" x14ac:dyDescent="0.3">
      <c r="A208" s="12" t="s">
        <v>453</v>
      </c>
      <c r="B208" s="12" t="s">
        <v>454</v>
      </c>
      <c r="C208" s="12" t="s">
        <v>59</v>
      </c>
      <c r="D208" s="12" t="s">
        <v>82</v>
      </c>
      <c r="E208" s="13">
        <v>45347</v>
      </c>
      <c r="F208" s="13">
        <v>45877</v>
      </c>
      <c r="G208" s="13">
        <v>45870</v>
      </c>
      <c r="H208" s="12" t="s">
        <v>97</v>
      </c>
      <c r="I208" s="12" t="s">
        <v>36</v>
      </c>
      <c r="J208" s="12" t="s">
        <v>92</v>
      </c>
      <c r="K208" s="12" t="s">
        <v>116</v>
      </c>
      <c r="L208" s="12" t="s">
        <v>457</v>
      </c>
      <c r="M208" s="12" t="s">
        <v>77</v>
      </c>
      <c r="N208" s="12" t="s">
        <v>45</v>
      </c>
      <c r="O208" s="12">
        <v>3</v>
      </c>
      <c r="P208" s="14">
        <v>9968</v>
      </c>
      <c r="Q208" s="14">
        <v>0</v>
      </c>
      <c r="R208" s="15">
        <v>0.5</v>
      </c>
      <c r="S208">
        <f t="shared" si="15"/>
        <v>530</v>
      </c>
      <c r="T208">
        <f t="shared" si="16"/>
        <v>4984</v>
      </c>
      <c r="U208" t="str">
        <f t="shared" si="17"/>
        <v>No</v>
      </c>
      <c r="V208">
        <f t="shared" si="18"/>
        <v>0</v>
      </c>
      <c r="W208" t="str">
        <f t="shared" si="19"/>
        <v>No</v>
      </c>
    </row>
    <row r="209" spans="1:23" x14ac:dyDescent="0.3">
      <c r="A209" s="5" t="s">
        <v>458</v>
      </c>
      <c r="B209" s="5" t="s">
        <v>459</v>
      </c>
      <c r="C209" s="5" t="s">
        <v>59</v>
      </c>
      <c r="D209" s="5" t="s">
        <v>79</v>
      </c>
      <c r="E209" s="16">
        <v>45350</v>
      </c>
      <c r="F209" s="16">
        <v>45831</v>
      </c>
      <c r="G209" s="16">
        <v>45809</v>
      </c>
      <c r="H209" s="5" t="s">
        <v>94</v>
      </c>
      <c r="I209" s="5" t="s">
        <v>42</v>
      </c>
      <c r="J209" s="5" t="s">
        <v>88</v>
      </c>
      <c r="K209" s="5" t="s">
        <v>112</v>
      </c>
      <c r="L209" s="5" t="s">
        <v>460</v>
      </c>
      <c r="M209" s="5" t="s">
        <v>73</v>
      </c>
      <c r="N209" s="5" t="s">
        <v>39</v>
      </c>
      <c r="O209" s="5">
        <v>0</v>
      </c>
      <c r="P209" s="7">
        <v>9313</v>
      </c>
      <c r="Q209" s="7">
        <v>0</v>
      </c>
      <c r="R209" s="17">
        <v>0.98</v>
      </c>
      <c r="S209">
        <f t="shared" si="15"/>
        <v>481</v>
      </c>
      <c r="T209">
        <f t="shared" si="16"/>
        <v>9126.74</v>
      </c>
      <c r="U209" t="str">
        <f t="shared" si="17"/>
        <v>No</v>
      </c>
      <c r="V209">
        <f t="shared" si="18"/>
        <v>0</v>
      </c>
      <c r="W209" t="str">
        <f t="shared" si="19"/>
        <v>No</v>
      </c>
    </row>
    <row r="210" spans="1:23" x14ac:dyDescent="0.3">
      <c r="A210" s="12" t="s">
        <v>458</v>
      </c>
      <c r="B210" s="12" t="s">
        <v>459</v>
      </c>
      <c r="C210" s="12" t="s">
        <v>59</v>
      </c>
      <c r="D210" s="12" t="s">
        <v>40</v>
      </c>
      <c r="E210" s="13">
        <v>45350</v>
      </c>
      <c r="F210" s="13">
        <v>45927</v>
      </c>
      <c r="G210" s="13">
        <v>45901</v>
      </c>
      <c r="H210" s="12" t="s">
        <v>98</v>
      </c>
      <c r="I210" s="12" t="s">
        <v>42</v>
      </c>
      <c r="J210" s="12" t="s">
        <v>88</v>
      </c>
      <c r="K210" s="12" t="s">
        <v>114</v>
      </c>
      <c r="L210" s="12" t="s">
        <v>461</v>
      </c>
      <c r="M210" s="12" t="s">
        <v>73</v>
      </c>
      <c r="N210" s="12" t="s">
        <v>66</v>
      </c>
      <c r="O210" s="12">
        <v>21</v>
      </c>
      <c r="P210" s="14">
        <v>4494</v>
      </c>
      <c r="Q210" s="14">
        <v>0</v>
      </c>
      <c r="R210" s="15">
        <v>0.11</v>
      </c>
      <c r="S210">
        <f t="shared" si="15"/>
        <v>577</v>
      </c>
      <c r="T210">
        <f t="shared" si="16"/>
        <v>494.34</v>
      </c>
      <c r="U210" t="str">
        <f t="shared" si="17"/>
        <v>No</v>
      </c>
      <c r="V210">
        <f t="shared" si="18"/>
        <v>0</v>
      </c>
      <c r="W210" t="str">
        <f t="shared" si="19"/>
        <v>No</v>
      </c>
    </row>
    <row r="211" spans="1:23" x14ac:dyDescent="0.3">
      <c r="A211" s="5" t="s">
        <v>458</v>
      </c>
      <c r="B211" s="5" t="s">
        <v>459</v>
      </c>
      <c r="C211" s="5" t="s">
        <v>59</v>
      </c>
      <c r="D211" s="5" t="s">
        <v>87</v>
      </c>
      <c r="E211" s="16">
        <v>45350</v>
      </c>
      <c r="F211" s="16">
        <v>45383</v>
      </c>
      <c r="G211" s="16">
        <v>45383</v>
      </c>
      <c r="H211" s="5" t="s">
        <v>44</v>
      </c>
      <c r="I211" s="5" t="s">
        <v>42</v>
      </c>
      <c r="J211" s="5" t="s">
        <v>88</v>
      </c>
      <c r="K211" s="5" t="s">
        <v>116</v>
      </c>
      <c r="L211" s="5" t="s">
        <v>462</v>
      </c>
      <c r="M211" s="5" t="s">
        <v>30</v>
      </c>
      <c r="N211" s="5" t="s">
        <v>39</v>
      </c>
      <c r="O211" s="5">
        <v>26</v>
      </c>
      <c r="P211" s="7">
        <v>7738</v>
      </c>
      <c r="Q211" s="7">
        <v>7435</v>
      </c>
      <c r="R211" s="17">
        <v>1</v>
      </c>
      <c r="S211">
        <f t="shared" si="15"/>
        <v>33</v>
      </c>
      <c r="T211">
        <f t="shared" si="16"/>
        <v>7738</v>
      </c>
      <c r="U211" t="str">
        <f t="shared" si="17"/>
        <v>No</v>
      </c>
      <c r="V211">
        <f t="shared" si="18"/>
        <v>0</v>
      </c>
      <c r="W211" t="str">
        <f t="shared" si="19"/>
        <v>Yes</v>
      </c>
    </row>
    <row r="212" spans="1:23" x14ac:dyDescent="0.3">
      <c r="A212" s="12" t="s">
        <v>463</v>
      </c>
      <c r="B212" s="12" t="s">
        <v>464</v>
      </c>
      <c r="C212" s="12" t="s">
        <v>31</v>
      </c>
      <c r="D212" s="12" t="s">
        <v>34</v>
      </c>
      <c r="E212" s="13">
        <v>45567</v>
      </c>
      <c r="F212" s="13">
        <v>45340</v>
      </c>
      <c r="G212" s="13">
        <v>45323</v>
      </c>
      <c r="H212" s="12" t="s">
        <v>32</v>
      </c>
      <c r="I212" s="12" t="s">
        <v>36</v>
      </c>
      <c r="J212" s="12" t="s">
        <v>88</v>
      </c>
      <c r="K212" s="12" t="s">
        <v>112</v>
      </c>
      <c r="L212" s="12" t="s">
        <v>465</v>
      </c>
      <c r="M212" s="12" t="s">
        <v>30</v>
      </c>
      <c r="N212" s="12" t="s">
        <v>45</v>
      </c>
      <c r="O212" s="12">
        <v>32</v>
      </c>
      <c r="P212" s="14">
        <v>8568</v>
      </c>
      <c r="Q212" s="14">
        <v>8546</v>
      </c>
      <c r="R212" s="15">
        <v>1</v>
      </c>
      <c r="S212">
        <f t="shared" si="15"/>
        <v>-227</v>
      </c>
      <c r="T212">
        <f t="shared" si="16"/>
        <v>8568</v>
      </c>
      <c r="U212" t="str">
        <f t="shared" si="17"/>
        <v>No</v>
      </c>
      <c r="V212">
        <f t="shared" si="18"/>
        <v>0</v>
      </c>
      <c r="W212" t="str">
        <f t="shared" si="19"/>
        <v>Yes</v>
      </c>
    </row>
    <row r="213" spans="1:23" x14ac:dyDescent="0.3">
      <c r="A213" s="5" t="s">
        <v>463</v>
      </c>
      <c r="B213" s="5" t="s">
        <v>464</v>
      </c>
      <c r="C213" s="5" t="s">
        <v>31</v>
      </c>
      <c r="D213" s="5" t="s">
        <v>57</v>
      </c>
      <c r="E213" s="16">
        <v>45567</v>
      </c>
      <c r="F213" s="16">
        <v>45341</v>
      </c>
      <c r="G213" s="16">
        <v>45323</v>
      </c>
      <c r="H213" s="5" t="s">
        <v>32</v>
      </c>
      <c r="I213" s="5" t="s">
        <v>36</v>
      </c>
      <c r="J213" s="5" t="s">
        <v>88</v>
      </c>
      <c r="K213" s="5" t="s">
        <v>114</v>
      </c>
      <c r="L213" s="5" t="s">
        <v>466</v>
      </c>
      <c r="M213" s="5" t="s">
        <v>73</v>
      </c>
      <c r="N213" s="5" t="s">
        <v>45</v>
      </c>
      <c r="O213" s="5">
        <v>3</v>
      </c>
      <c r="P213" s="7">
        <v>1052</v>
      </c>
      <c r="Q213" s="7">
        <v>0</v>
      </c>
      <c r="R213" s="17">
        <v>0.62</v>
      </c>
      <c r="S213">
        <f t="shared" si="15"/>
        <v>-226</v>
      </c>
      <c r="T213">
        <f t="shared" si="16"/>
        <v>652.24</v>
      </c>
      <c r="U213" t="str">
        <f t="shared" si="17"/>
        <v>No</v>
      </c>
      <c r="V213">
        <f t="shared" si="18"/>
        <v>0</v>
      </c>
      <c r="W213" t="str">
        <f t="shared" si="19"/>
        <v>No</v>
      </c>
    </row>
    <row r="214" spans="1:23" x14ac:dyDescent="0.3">
      <c r="A214" s="12" t="s">
        <v>463</v>
      </c>
      <c r="B214" s="12" t="s">
        <v>464</v>
      </c>
      <c r="C214" s="12" t="s">
        <v>31</v>
      </c>
      <c r="D214" s="12" t="s">
        <v>46</v>
      </c>
      <c r="E214" s="13">
        <v>45567</v>
      </c>
      <c r="F214" s="13">
        <v>45339</v>
      </c>
      <c r="G214" s="13">
        <v>45323</v>
      </c>
      <c r="H214" s="12" t="s">
        <v>32</v>
      </c>
      <c r="I214" s="12" t="s">
        <v>36</v>
      </c>
      <c r="J214" s="12" t="s">
        <v>88</v>
      </c>
      <c r="K214" s="12" t="s">
        <v>116</v>
      </c>
      <c r="L214" s="12" t="s">
        <v>467</v>
      </c>
      <c r="M214" s="12" t="s">
        <v>30</v>
      </c>
      <c r="N214" s="12" t="s">
        <v>39</v>
      </c>
      <c r="O214" s="12">
        <v>10</v>
      </c>
      <c r="P214" s="14">
        <v>7325</v>
      </c>
      <c r="Q214" s="14">
        <v>6853</v>
      </c>
      <c r="R214" s="15">
        <v>1</v>
      </c>
      <c r="S214">
        <f t="shared" si="15"/>
        <v>-228</v>
      </c>
      <c r="T214">
        <f t="shared" si="16"/>
        <v>7325</v>
      </c>
      <c r="U214" t="str">
        <f t="shared" si="17"/>
        <v>No</v>
      </c>
      <c r="V214">
        <f t="shared" si="18"/>
        <v>0</v>
      </c>
      <c r="W214" t="str">
        <f t="shared" si="19"/>
        <v>Yes</v>
      </c>
    </row>
    <row r="215" spans="1:23" x14ac:dyDescent="0.3">
      <c r="A215" s="5" t="s">
        <v>468</v>
      </c>
      <c r="B215" s="5" t="s">
        <v>469</v>
      </c>
      <c r="C215" s="5" t="s">
        <v>43</v>
      </c>
      <c r="D215" s="5" t="s">
        <v>62</v>
      </c>
      <c r="E215" s="16">
        <v>45405</v>
      </c>
      <c r="F215" s="16">
        <v>45804</v>
      </c>
      <c r="G215" s="16">
        <v>45778</v>
      </c>
      <c r="H215" s="5" t="s">
        <v>93</v>
      </c>
      <c r="I215" s="5" t="s">
        <v>48</v>
      </c>
      <c r="J215" s="5" t="s">
        <v>88</v>
      </c>
      <c r="K215" s="5" t="s">
        <v>112</v>
      </c>
      <c r="L215" s="5" t="s">
        <v>470</v>
      </c>
      <c r="M215" s="5" t="s">
        <v>73</v>
      </c>
      <c r="N215" s="5" t="s">
        <v>70</v>
      </c>
      <c r="O215" s="5">
        <v>20</v>
      </c>
      <c r="P215" s="7">
        <v>7862</v>
      </c>
      <c r="Q215" s="7">
        <v>0</v>
      </c>
      <c r="R215" s="17">
        <v>0.77</v>
      </c>
      <c r="S215">
        <f t="shared" si="15"/>
        <v>399</v>
      </c>
      <c r="T215">
        <f t="shared" si="16"/>
        <v>6053.74</v>
      </c>
      <c r="U215" t="str">
        <f t="shared" si="17"/>
        <v>No</v>
      </c>
      <c r="V215">
        <f t="shared" si="18"/>
        <v>0</v>
      </c>
      <c r="W215" t="str">
        <f t="shared" si="19"/>
        <v>No</v>
      </c>
    </row>
    <row r="216" spans="1:23" x14ac:dyDescent="0.3">
      <c r="A216" s="12" t="s">
        <v>468</v>
      </c>
      <c r="B216" s="12" t="s">
        <v>469</v>
      </c>
      <c r="C216" s="12" t="s">
        <v>43</v>
      </c>
      <c r="D216" s="12" t="s">
        <v>67</v>
      </c>
      <c r="E216" s="13">
        <v>45405</v>
      </c>
      <c r="F216" s="13">
        <v>45438</v>
      </c>
      <c r="G216" s="13">
        <v>45413</v>
      </c>
      <c r="H216" s="12" t="s">
        <v>50</v>
      </c>
      <c r="I216" s="12" t="s">
        <v>48</v>
      </c>
      <c r="J216" s="12" t="s">
        <v>88</v>
      </c>
      <c r="K216" s="12" t="s">
        <v>114</v>
      </c>
      <c r="L216" s="12" t="s">
        <v>471</v>
      </c>
      <c r="M216" s="12" t="s">
        <v>30</v>
      </c>
      <c r="N216" s="12" t="s">
        <v>61</v>
      </c>
      <c r="O216" s="12">
        <v>29</v>
      </c>
      <c r="P216" s="14">
        <v>7708</v>
      </c>
      <c r="Q216" s="14">
        <v>7268</v>
      </c>
      <c r="R216" s="15">
        <v>1</v>
      </c>
      <c r="S216">
        <f t="shared" si="15"/>
        <v>33</v>
      </c>
      <c r="T216">
        <f t="shared" si="16"/>
        <v>7708</v>
      </c>
      <c r="U216" t="str">
        <f t="shared" si="17"/>
        <v>No</v>
      </c>
      <c r="V216">
        <f t="shared" si="18"/>
        <v>0</v>
      </c>
      <c r="W216" t="str">
        <f t="shared" si="19"/>
        <v>Yes</v>
      </c>
    </row>
    <row r="217" spans="1:23" x14ac:dyDescent="0.3">
      <c r="A217" s="5" t="s">
        <v>468</v>
      </c>
      <c r="B217" s="5" t="s">
        <v>469</v>
      </c>
      <c r="C217" s="5" t="s">
        <v>43</v>
      </c>
      <c r="D217" s="5" t="s">
        <v>75</v>
      </c>
      <c r="E217" s="16">
        <v>45405</v>
      </c>
      <c r="F217" s="16">
        <v>45817</v>
      </c>
      <c r="G217" s="16">
        <v>45809</v>
      </c>
      <c r="H217" s="5" t="s">
        <v>94</v>
      </c>
      <c r="I217" s="5" t="s">
        <v>48</v>
      </c>
      <c r="J217" s="5" t="s">
        <v>90</v>
      </c>
      <c r="K217" s="5" t="s">
        <v>116</v>
      </c>
      <c r="L217" s="5" t="s">
        <v>472</v>
      </c>
      <c r="M217" s="5" t="s">
        <v>77</v>
      </c>
      <c r="N217" s="5" t="s">
        <v>39</v>
      </c>
      <c r="O217" s="5">
        <v>0</v>
      </c>
      <c r="P217" s="7">
        <v>3260</v>
      </c>
      <c r="Q217" s="7">
        <v>0</v>
      </c>
      <c r="R217" s="17">
        <v>0.36</v>
      </c>
      <c r="S217">
        <f t="shared" si="15"/>
        <v>412</v>
      </c>
      <c r="T217">
        <f t="shared" si="16"/>
        <v>1173.5999999999999</v>
      </c>
      <c r="U217" t="str">
        <f t="shared" si="17"/>
        <v>No</v>
      </c>
      <c r="V217">
        <f t="shared" si="18"/>
        <v>0</v>
      </c>
      <c r="W217" t="str">
        <f t="shared" si="19"/>
        <v>No</v>
      </c>
    </row>
    <row r="218" spans="1:23" x14ac:dyDescent="0.3">
      <c r="A218" s="12" t="s">
        <v>473</v>
      </c>
      <c r="B218" s="12" t="s">
        <v>474</v>
      </c>
      <c r="C218" s="12" t="s">
        <v>59</v>
      </c>
      <c r="D218" s="12" t="s">
        <v>57</v>
      </c>
      <c r="E218" s="13">
        <v>45448</v>
      </c>
      <c r="F218" s="13">
        <v>45558</v>
      </c>
      <c r="G218" s="13">
        <v>45536</v>
      </c>
      <c r="H218" s="12" t="s">
        <v>69</v>
      </c>
      <c r="I218" s="12" t="s">
        <v>42</v>
      </c>
      <c r="J218" s="12" t="s">
        <v>92</v>
      </c>
      <c r="K218" s="12" t="s">
        <v>112</v>
      </c>
      <c r="L218" s="12" t="s">
        <v>475</v>
      </c>
      <c r="M218" s="12" t="s">
        <v>30</v>
      </c>
      <c r="N218" s="12" t="s">
        <v>39</v>
      </c>
      <c r="O218" s="12">
        <v>29</v>
      </c>
      <c r="P218" s="14">
        <v>1702</v>
      </c>
      <c r="Q218" s="14">
        <v>1411</v>
      </c>
      <c r="R218" s="15">
        <v>1</v>
      </c>
      <c r="S218">
        <f t="shared" si="15"/>
        <v>110</v>
      </c>
      <c r="T218">
        <f t="shared" si="16"/>
        <v>1702</v>
      </c>
      <c r="U218" t="str">
        <f t="shared" si="17"/>
        <v>No</v>
      </c>
      <c r="V218">
        <f t="shared" si="18"/>
        <v>0</v>
      </c>
      <c r="W218" t="str">
        <f t="shared" si="19"/>
        <v>Yes</v>
      </c>
    </row>
    <row r="219" spans="1:23" x14ac:dyDescent="0.3">
      <c r="A219" s="5" t="s">
        <v>473</v>
      </c>
      <c r="B219" s="5" t="s">
        <v>474</v>
      </c>
      <c r="C219" s="5" t="s">
        <v>59</v>
      </c>
      <c r="D219" s="5" t="s">
        <v>34</v>
      </c>
      <c r="E219" s="16">
        <v>45448</v>
      </c>
      <c r="F219" s="16">
        <v>45526</v>
      </c>
      <c r="G219" s="16">
        <v>45505</v>
      </c>
      <c r="H219" s="5" t="s">
        <v>65</v>
      </c>
      <c r="I219" s="5" t="s">
        <v>42</v>
      </c>
      <c r="J219" s="5" t="s">
        <v>88</v>
      </c>
      <c r="K219" s="5" t="s">
        <v>114</v>
      </c>
      <c r="L219" s="5" t="s">
        <v>476</v>
      </c>
      <c r="M219" s="5" t="s">
        <v>30</v>
      </c>
      <c r="N219" s="5" t="s">
        <v>61</v>
      </c>
      <c r="O219" s="5">
        <v>24</v>
      </c>
      <c r="P219" s="7">
        <v>8403</v>
      </c>
      <c r="Q219" s="7">
        <v>8115</v>
      </c>
      <c r="R219" s="17">
        <v>1</v>
      </c>
      <c r="S219">
        <f t="shared" si="15"/>
        <v>78</v>
      </c>
      <c r="T219">
        <f t="shared" si="16"/>
        <v>8403</v>
      </c>
      <c r="U219" t="str">
        <f t="shared" si="17"/>
        <v>No</v>
      </c>
      <c r="V219">
        <f t="shared" si="18"/>
        <v>0</v>
      </c>
      <c r="W219" t="str">
        <f t="shared" si="19"/>
        <v>Yes</v>
      </c>
    </row>
    <row r="220" spans="1:23" x14ac:dyDescent="0.3">
      <c r="A220" s="12" t="s">
        <v>473</v>
      </c>
      <c r="B220" s="12" t="s">
        <v>474</v>
      </c>
      <c r="C220" s="12" t="s">
        <v>59</v>
      </c>
      <c r="D220" s="12" t="s">
        <v>57</v>
      </c>
      <c r="E220" s="13">
        <v>45448</v>
      </c>
      <c r="F220" s="13">
        <v>45549</v>
      </c>
      <c r="G220" s="13">
        <v>45536</v>
      </c>
      <c r="H220" s="12" t="s">
        <v>69</v>
      </c>
      <c r="I220" s="12" t="s">
        <v>42</v>
      </c>
      <c r="J220" s="12" t="s">
        <v>88</v>
      </c>
      <c r="K220" s="12" t="s">
        <v>116</v>
      </c>
      <c r="L220" s="12" t="s">
        <v>477</v>
      </c>
      <c r="M220" s="12" t="s">
        <v>30</v>
      </c>
      <c r="N220" s="12" t="s">
        <v>66</v>
      </c>
      <c r="O220" s="12">
        <v>14</v>
      </c>
      <c r="P220" s="14">
        <v>4955</v>
      </c>
      <c r="Q220" s="14">
        <v>4586</v>
      </c>
      <c r="R220" s="15">
        <v>1</v>
      </c>
      <c r="S220">
        <f t="shared" si="15"/>
        <v>101</v>
      </c>
      <c r="T220">
        <f t="shared" si="16"/>
        <v>4955</v>
      </c>
      <c r="U220" t="str">
        <f t="shared" si="17"/>
        <v>No</v>
      </c>
      <c r="V220">
        <f t="shared" si="18"/>
        <v>0</v>
      </c>
      <c r="W220" t="str">
        <f t="shared" si="19"/>
        <v>Yes</v>
      </c>
    </row>
    <row r="221" spans="1:23" x14ac:dyDescent="0.3">
      <c r="A221" s="5" t="s">
        <v>478</v>
      </c>
      <c r="B221" s="5" t="s">
        <v>479</v>
      </c>
      <c r="C221" s="5" t="s">
        <v>31</v>
      </c>
      <c r="D221" s="5" t="s">
        <v>71</v>
      </c>
      <c r="E221" s="16">
        <v>45433</v>
      </c>
      <c r="F221" s="16">
        <v>45499</v>
      </c>
      <c r="G221" s="16">
        <v>45474</v>
      </c>
      <c r="H221" s="5" t="s">
        <v>60</v>
      </c>
      <c r="I221" s="5" t="s">
        <v>42</v>
      </c>
      <c r="J221" s="5" t="s">
        <v>88</v>
      </c>
      <c r="K221" s="5" t="s">
        <v>112</v>
      </c>
      <c r="L221" s="5" t="s">
        <v>480</v>
      </c>
      <c r="M221" s="5" t="s">
        <v>77</v>
      </c>
      <c r="N221" s="5" t="s">
        <v>51</v>
      </c>
      <c r="O221" s="5">
        <v>13</v>
      </c>
      <c r="P221" s="7">
        <v>3533</v>
      </c>
      <c r="Q221" s="7">
        <v>0</v>
      </c>
      <c r="R221" s="17">
        <v>0.74</v>
      </c>
      <c r="S221">
        <f t="shared" si="15"/>
        <v>66</v>
      </c>
      <c r="T221">
        <f t="shared" si="16"/>
        <v>2614.42</v>
      </c>
      <c r="U221" t="str">
        <f t="shared" si="17"/>
        <v>No</v>
      </c>
      <c r="V221">
        <f t="shared" si="18"/>
        <v>0</v>
      </c>
      <c r="W221" t="str">
        <f t="shared" si="19"/>
        <v>No</v>
      </c>
    </row>
    <row r="222" spans="1:23" x14ac:dyDescent="0.3">
      <c r="A222" s="12" t="s">
        <v>478</v>
      </c>
      <c r="B222" s="12" t="s">
        <v>479</v>
      </c>
      <c r="C222" s="12" t="s">
        <v>31</v>
      </c>
      <c r="D222" s="12" t="s">
        <v>84</v>
      </c>
      <c r="E222" s="13">
        <v>45433</v>
      </c>
      <c r="F222" s="13">
        <v>45505</v>
      </c>
      <c r="G222" s="13">
        <v>45505</v>
      </c>
      <c r="H222" s="12" t="s">
        <v>65</v>
      </c>
      <c r="I222" s="12" t="s">
        <v>42</v>
      </c>
      <c r="J222" s="12" t="s">
        <v>88</v>
      </c>
      <c r="K222" s="12" t="s">
        <v>114</v>
      </c>
      <c r="L222" s="12" t="s">
        <v>481</v>
      </c>
      <c r="M222" s="12" t="s">
        <v>77</v>
      </c>
      <c r="N222" s="12" t="s">
        <v>39</v>
      </c>
      <c r="O222" s="12">
        <v>8</v>
      </c>
      <c r="P222" s="14">
        <v>8279</v>
      </c>
      <c r="Q222" s="14">
        <v>0</v>
      </c>
      <c r="R222" s="15">
        <v>0.18</v>
      </c>
      <c r="S222">
        <f t="shared" si="15"/>
        <v>72</v>
      </c>
      <c r="T222">
        <f t="shared" si="16"/>
        <v>1490.22</v>
      </c>
      <c r="U222" t="str">
        <f t="shared" si="17"/>
        <v>No</v>
      </c>
      <c r="V222">
        <f t="shared" si="18"/>
        <v>0</v>
      </c>
      <c r="W222" t="str">
        <f t="shared" si="19"/>
        <v>No</v>
      </c>
    </row>
    <row r="223" spans="1:23" x14ac:dyDescent="0.3">
      <c r="A223" s="5" t="s">
        <v>478</v>
      </c>
      <c r="B223" s="5" t="s">
        <v>479</v>
      </c>
      <c r="C223" s="5" t="s">
        <v>31</v>
      </c>
      <c r="D223" s="5" t="s">
        <v>57</v>
      </c>
      <c r="E223" s="16">
        <v>45433</v>
      </c>
      <c r="F223" s="16">
        <v>45490</v>
      </c>
      <c r="G223" s="16">
        <v>45474</v>
      </c>
      <c r="H223" s="5" t="s">
        <v>60</v>
      </c>
      <c r="I223" s="5" t="s">
        <v>42</v>
      </c>
      <c r="J223" s="5" t="s">
        <v>88</v>
      </c>
      <c r="K223" s="5" t="s">
        <v>116</v>
      </c>
      <c r="L223" s="5" t="s">
        <v>482</v>
      </c>
      <c r="M223" s="5" t="s">
        <v>73</v>
      </c>
      <c r="N223" s="5" t="s">
        <v>33</v>
      </c>
      <c r="O223" s="5">
        <v>39</v>
      </c>
      <c r="P223" s="7">
        <v>3680</v>
      </c>
      <c r="Q223" s="7">
        <v>0</v>
      </c>
      <c r="R223" s="17">
        <v>0.05</v>
      </c>
      <c r="S223">
        <f t="shared" si="15"/>
        <v>57</v>
      </c>
      <c r="T223">
        <f t="shared" si="16"/>
        <v>184</v>
      </c>
      <c r="U223" t="str">
        <f t="shared" si="17"/>
        <v>No</v>
      </c>
      <c r="V223">
        <f t="shared" si="18"/>
        <v>0</v>
      </c>
      <c r="W223" t="str">
        <f t="shared" si="19"/>
        <v>No</v>
      </c>
    </row>
    <row r="224" spans="1:23" x14ac:dyDescent="0.3">
      <c r="A224" s="12" t="s">
        <v>483</v>
      </c>
      <c r="B224" s="12" t="s">
        <v>484</v>
      </c>
      <c r="C224" s="12" t="s">
        <v>59</v>
      </c>
      <c r="D224" s="12" t="s">
        <v>57</v>
      </c>
      <c r="E224" s="13">
        <v>45601</v>
      </c>
      <c r="F224" s="13">
        <v>45456</v>
      </c>
      <c r="G224" s="13">
        <v>45444</v>
      </c>
      <c r="H224" s="12" t="s">
        <v>55</v>
      </c>
      <c r="I224" s="12" t="s">
        <v>42</v>
      </c>
      <c r="J224" s="12" t="s">
        <v>90</v>
      </c>
      <c r="K224" s="12" t="s">
        <v>112</v>
      </c>
      <c r="L224" s="12" t="s">
        <v>485</v>
      </c>
      <c r="M224" s="12" t="s">
        <v>30</v>
      </c>
      <c r="N224" s="12" t="s">
        <v>56</v>
      </c>
      <c r="O224" s="12">
        <v>11</v>
      </c>
      <c r="P224" s="14">
        <v>8493</v>
      </c>
      <c r="Q224" s="14">
        <v>12398</v>
      </c>
      <c r="R224" s="15">
        <v>1</v>
      </c>
      <c r="S224">
        <f t="shared" si="15"/>
        <v>-145</v>
      </c>
      <c r="T224">
        <f t="shared" si="16"/>
        <v>8493</v>
      </c>
      <c r="U224" t="str">
        <f t="shared" si="17"/>
        <v>Yes</v>
      </c>
      <c r="V224">
        <f t="shared" si="18"/>
        <v>3905</v>
      </c>
      <c r="W224" t="str">
        <f t="shared" si="19"/>
        <v>Yes</v>
      </c>
    </row>
    <row r="225" spans="1:23" x14ac:dyDescent="0.3">
      <c r="A225" s="5" t="s">
        <v>483</v>
      </c>
      <c r="B225" s="5" t="s">
        <v>484</v>
      </c>
      <c r="C225" s="5" t="s">
        <v>59</v>
      </c>
      <c r="D225" s="5" t="s">
        <v>84</v>
      </c>
      <c r="E225" s="16">
        <v>45601</v>
      </c>
      <c r="F225" s="16">
        <v>45912</v>
      </c>
      <c r="G225" s="16">
        <v>45901</v>
      </c>
      <c r="H225" s="5" t="s">
        <v>98</v>
      </c>
      <c r="I225" s="5" t="s">
        <v>42</v>
      </c>
      <c r="J225" s="5" t="s">
        <v>90</v>
      </c>
      <c r="K225" s="5" t="s">
        <v>114</v>
      </c>
      <c r="L225" s="5" t="s">
        <v>486</v>
      </c>
      <c r="M225" s="5" t="s">
        <v>77</v>
      </c>
      <c r="N225" s="5" t="s">
        <v>39</v>
      </c>
      <c r="O225" s="5">
        <v>11</v>
      </c>
      <c r="P225" s="7">
        <v>3828</v>
      </c>
      <c r="Q225" s="7">
        <v>0</v>
      </c>
      <c r="R225" s="17">
        <v>0.26</v>
      </c>
      <c r="S225">
        <f t="shared" si="15"/>
        <v>311</v>
      </c>
      <c r="T225">
        <f t="shared" si="16"/>
        <v>995.28000000000009</v>
      </c>
      <c r="U225" t="str">
        <f t="shared" si="17"/>
        <v>No</v>
      </c>
      <c r="V225">
        <f t="shared" si="18"/>
        <v>0</v>
      </c>
      <c r="W225" t="str">
        <f t="shared" si="19"/>
        <v>No</v>
      </c>
    </row>
    <row r="226" spans="1:23" x14ac:dyDescent="0.3">
      <c r="A226" s="12" t="s">
        <v>483</v>
      </c>
      <c r="B226" s="12" t="s">
        <v>484</v>
      </c>
      <c r="C226" s="12" t="s">
        <v>59</v>
      </c>
      <c r="D226" s="12" t="s">
        <v>34</v>
      </c>
      <c r="E226" s="13">
        <v>45601</v>
      </c>
      <c r="F226" s="13">
        <v>45864</v>
      </c>
      <c r="G226" s="13">
        <v>45839</v>
      </c>
      <c r="H226" s="12" t="s">
        <v>96</v>
      </c>
      <c r="I226" s="12" t="s">
        <v>42</v>
      </c>
      <c r="J226" s="12" t="s">
        <v>90</v>
      </c>
      <c r="K226" s="12" t="s">
        <v>116</v>
      </c>
      <c r="L226" s="12" t="s">
        <v>487</v>
      </c>
      <c r="M226" s="12" t="s">
        <v>73</v>
      </c>
      <c r="N226" s="12" t="s">
        <v>61</v>
      </c>
      <c r="O226" s="12">
        <v>0</v>
      </c>
      <c r="P226" s="14">
        <v>6118</v>
      </c>
      <c r="Q226" s="14">
        <v>0</v>
      </c>
      <c r="R226" s="15">
        <v>0.28999999999999998</v>
      </c>
      <c r="S226">
        <f t="shared" si="15"/>
        <v>263</v>
      </c>
      <c r="T226">
        <f t="shared" si="16"/>
        <v>1774.2199999999998</v>
      </c>
      <c r="U226" t="str">
        <f t="shared" si="17"/>
        <v>No</v>
      </c>
      <c r="V226">
        <f t="shared" si="18"/>
        <v>0</v>
      </c>
      <c r="W226" t="str">
        <f t="shared" si="19"/>
        <v>No</v>
      </c>
    </row>
    <row r="227" spans="1:23" x14ac:dyDescent="0.3">
      <c r="A227" s="5" t="s">
        <v>488</v>
      </c>
      <c r="B227" s="5" t="s">
        <v>489</v>
      </c>
      <c r="C227" s="5" t="s">
        <v>31</v>
      </c>
      <c r="D227" s="5" t="s">
        <v>40</v>
      </c>
      <c r="E227" s="16">
        <v>45603</v>
      </c>
      <c r="F227" s="16">
        <v>45505</v>
      </c>
      <c r="G227" s="16">
        <v>45505</v>
      </c>
      <c r="H227" s="5" t="s">
        <v>65</v>
      </c>
      <c r="I227" s="5" t="s">
        <v>36</v>
      </c>
      <c r="J227" s="5" t="s">
        <v>88</v>
      </c>
      <c r="K227" s="5" t="s">
        <v>112</v>
      </c>
      <c r="L227" s="5" t="s">
        <v>490</v>
      </c>
      <c r="M227" s="5" t="s">
        <v>77</v>
      </c>
      <c r="N227" s="5" t="s">
        <v>61</v>
      </c>
      <c r="O227" s="5">
        <v>15</v>
      </c>
      <c r="P227" s="7">
        <v>6558</v>
      </c>
      <c r="Q227" s="7">
        <v>0</v>
      </c>
      <c r="R227" s="17">
        <v>0.71</v>
      </c>
      <c r="S227">
        <f t="shared" si="15"/>
        <v>-98</v>
      </c>
      <c r="T227">
        <f t="shared" si="16"/>
        <v>4656.1799999999994</v>
      </c>
      <c r="U227" t="str">
        <f t="shared" si="17"/>
        <v>No</v>
      </c>
      <c r="V227">
        <f t="shared" si="18"/>
        <v>0</v>
      </c>
      <c r="W227" t="str">
        <f t="shared" si="19"/>
        <v>No</v>
      </c>
    </row>
    <row r="228" spans="1:23" x14ac:dyDescent="0.3">
      <c r="A228" s="12" t="s">
        <v>488</v>
      </c>
      <c r="B228" s="12" t="s">
        <v>489</v>
      </c>
      <c r="C228" s="12" t="s">
        <v>31</v>
      </c>
      <c r="D228" s="12" t="s">
        <v>71</v>
      </c>
      <c r="E228" s="13">
        <v>45603</v>
      </c>
      <c r="F228" s="13">
        <v>45515</v>
      </c>
      <c r="G228" s="13">
        <v>45505</v>
      </c>
      <c r="H228" s="12" t="s">
        <v>65</v>
      </c>
      <c r="I228" s="12" t="s">
        <v>36</v>
      </c>
      <c r="J228" s="12" t="s">
        <v>90</v>
      </c>
      <c r="K228" s="12" t="s">
        <v>114</v>
      </c>
      <c r="L228" s="12" t="s">
        <v>491</v>
      </c>
      <c r="M228" s="12" t="s">
        <v>30</v>
      </c>
      <c r="N228" s="12" t="s">
        <v>45</v>
      </c>
      <c r="O228" s="12">
        <v>19</v>
      </c>
      <c r="P228" s="14">
        <v>1044</v>
      </c>
      <c r="Q228" s="14">
        <v>899</v>
      </c>
      <c r="R228" s="15">
        <v>1</v>
      </c>
      <c r="S228">
        <f t="shared" si="15"/>
        <v>-88</v>
      </c>
      <c r="T228">
        <f t="shared" si="16"/>
        <v>1044</v>
      </c>
      <c r="U228" t="str">
        <f t="shared" si="17"/>
        <v>No</v>
      </c>
      <c r="V228">
        <f t="shared" si="18"/>
        <v>0</v>
      </c>
      <c r="W228" t="str">
        <f t="shared" si="19"/>
        <v>Yes</v>
      </c>
    </row>
    <row r="229" spans="1:23" x14ac:dyDescent="0.3">
      <c r="A229" s="5" t="s">
        <v>488</v>
      </c>
      <c r="B229" s="5" t="s">
        <v>489</v>
      </c>
      <c r="C229" s="5" t="s">
        <v>31</v>
      </c>
      <c r="D229" s="5" t="s">
        <v>62</v>
      </c>
      <c r="E229" s="16">
        <v>45603</v>
      </c>
      <c r="F229" s="16">
        <v>45505</v>
      </c>
      <c r="G229" s="16">
        <v>45505</v>
      </c>
      <c r="H229" s="5" t="s">
        <v>65</v>
      </c>
      <c r="I229" s="5" t="s">
        <v>36</v>
      </c>
      <c r="J229" s="5" t="s">
        <v>88</v>
      </c>
      <c r="K229" s="5" t="s">
        <v>116</v>
      </c>
      <c r="L229" s="5" t="s">
        <v>492</v>
      </c>
      <c r="M229" s="5" t="s">
        <v>77</v>
      </c>
      <c r="N229" s="5" t="s">
        <v>45</v>
      </c>
      <c r="O229" s="5">
        <v>10</v>
      </c>
      <c r="P229" s="7">
        <v>7397</v>
      </c>
      <c r="Q229" s="7">
        <v>0</v>
      </c>
      <c r="R229" s="17">
        <v>0.21</v>
      </c>
      <c r="S229">
        <f t="shared" si="15"/>
        <v>-98</v>
      </c>
      <c r="T229">
        <f t="shared" si="16"/>
        <v>1553.37</v>
      </c>
      <c r="U229" t="str">
        <f t="shared" si="17"/>
        <v>No</v>
      </c>
      <c r="V229">
        <f t="shared" si="18"/>
        <v>0</v>
      </c>
      <c r="W229" t="str">
        <f t="shared" si="19"/>
        <v>No</v>
      </c>
    </row>
    <row r="230" spans="1:23" x14ac:dyDescent="0.3">
      <c r="A230" s="12" t="s">
        <v>493</v>
      </c>
      <c r="B230" s="12" t="s">
        <v>494</v>
      </c>
      <c r="C230" s="12" t="s">
        <v>37</v>
      </c>
      <c r="D230" s="12" t="s">
        <v>79</v>
      </c>
      <c r="E230" s="13">
        <v>45539</v>
      </c>
      <c r="F230" s="13">
        <v>45695</v>
      </c>
      <c r="G230" s="13">
        <v>45689</v>
      </c>
      <c r="H230" s="12" t="s">
        <v>86</v>
      </c>
      <c r="I230" s="12" t="s">
        <v>48</v>
      </c>
      <c r="J230" s="12" t="s">
        <v>90</v>
      </c>
      <c r="K230" s="12" t="s">
        <v>112</v>
      </c>
      <c r="L230" s="12" t="s">
        <v>495</v>
      </c>
      <c r="M230" s="12" t="s">
        <v>73</v>
      </c>
      <c r="N230" s="12" t="s">
        <v>45</v>
      </c>
      <c r="O230" s="12">
        <v>2</v>
      </c>
      <c r="P230" s="14">
        <v>8832</v>
      </c>
      <c r="Q230" s="14">
        <v>0</v>
      </c>
      <c r="R230" s="15">
        <v>0.85</v>
      </c>
      <c r="S230">
        <f t="shared" si="15"/>
        <v>156</v>
      </c>
      <c r="T230">
        <f t="shared" si="16"/>
        <v>7507.2</v>
      </c>
      <c r="U230" t="str">
        <f t="shared" si="17"/>
        <v>No</v>
      </c>
      <c r="V230">
        <f t="shared" si="18"/>
        <v>0</v>
      </c>
      <c r="W230" t="str">
        <f t="shared" si="19"/>
        <v>No</v>
      </c>
    </row>
    <row r="231" spans="1:23" x14ac:dyDescent="0.3">
      <c r="A231" s="5" t="s">
        <v>493</v>
      </c>
      <c r="B231" s="5" t="s">
        <v>494</v>
      </c>
      <c r="C231" s="5" t="s">
        <v>37</v>
      </c>
      <c r="D231" s="5" t="s">
        <v>34</v>
      </c>
      <c r="E231" s="16">
        <v>45539</v>
      </c>
      <c r="F231" s="16">
        <v>45424</v>
      </c>
      <c r="G231" s="16">
        <v>45413</v>
      </c>
      <c r="H231" s="5" t="s">
        <v>50</v>
      </c>
      <c r="I231" s="5" t="s">
        <v>48</v>
      </c>
      <c r="J231" s="5" t="s">
        <v>88</v>
      </c>
      <c r="K231" s="5" t="s">
        <v>114</v>
      </c>
      <c r="L231" s="5" t="s">
        <v>496</v>
      </c>
      <c r="M231" s="5" t="s">
        <v>30</v>
      </c>
      <c r="N231" s="5" t="s">
        <v>33</v>
      </c>
      <c r="O231" s="5">
        <v>39</v>
      </c>
      <c r="P231" s="7">
        <v>3123</v>
      </c>
      <c r="Q231" s="7">
        <v>2841</v>
      </c>
      <c r="R231" s="17">
        <v>1</v>
      </c>
      <c r="S231">
        <f t="shared" si="15"/>
        <v>-115</v>
      </c>
      <c r="T231">
        <f t="shared" si="16"/>
        <v>3123</v>
      </c>
      <c r="U231" t="str">
        <f t="shared" si="17"/>
        <v>No</v>
      </c>
      <c r="V231">
        <f t="shared" si="18"/>
        <v>0</v>
      </c>
      <c r="W231" t="str">
        <f t="shared" si="19"/>
        <v>Yes</v>
      </c>
    </row>
    <row r="232" spans="1:23" x14ac:dyDescent="0.3">
      <c r="A232" s="12" t="s">
        <v>493</v>
      </c>
      <c r="B232" s="12" t="s">
        <v>494</v>
      </c>
      <c r="C232" s="12" t="s">
        <v>37</v>
      </c>
      <c r="D232" s="12" t="s">
        <v>87</v>
      </c>
      <c r="E232" s="13">
        <v>45539</v>
      </c>
      <c r="F232" s="13">
        <v>45729</v>
      </c>
      <c r="G232" s="13">
        <v>45717</v>
      </c>
      <c r="H232" s="12" t="s">
        <v>89</v>
      </c>
      <c r="I232" s="12" t="s">
        <v>48</v>
      </c>
      <c r="J232" s="12" t="s">
        <v>92</v>
      </c>
      <c r="K232" s="12" t="s">
        <v>116</v>
      </c>
      <c r="L232" s="12" t="s">
        <v>497</v>
      </c>
      <c r="M232" s="12" t="s">
        <v>77</v>
      </c>
      <c r="N232" s="12" t="s">
        <v>66</v>
      </c>
      <c r="O232" s="12">
        <v>1</v>
      </c>
      <c r="P232" s="14">
        <v>6854</v>
      </c>
      <c r="Q232" s="14">
        <v>0</v>
      </c>
      <c r="R232" s="15">
        <v>0.15</v>
      </c>
      <c r="S232">
        <f t="shared" si="15"/>
        <v>190</v>
      </c>
      <c r="T232">
        <f t="shared" si="16"/>
        <v>1028.0999999999999</v>
      </c>
      <c r="U232" t="str">
        <f t="shared" si="17"/>
        <v>No</v>
      </c>
      <c r="V232">
        <f t="shared" si="18"/>
        <v>0</v>
      </c>
      <c r="W232" t="str">
        <f t="shared" si="19"/>
        <v>No</v>
      </c>
    </row>
    <row r="233" spans="1:23" x14ac:dyDescent="0.3">
      <c r="A233" s="5" t="s">
        <v>498</v>
      </c>
      <c r="B233" s="5" t="s">
        <v>499</v>
      </c>
      <c r="C233" s="5" t="s">
        <v>43</v>
      </c>
      <c r="D233" s="5" t="s">
        <v>40</v>
      </c>
      <c r="E233" s="16">
        <v>45317</v>
      </c>
      <c r="F233" s="16">
        <v>45401</v>
      </c>
      <c r="G233" s="16">
        <v>45383</v>
      </c>
      <c r="H233" s="5" t="s">
        <v>44</v>
      </c>
      <c r="I233" s="5" t="s">
        <v>48</v>
      </c>
      <c r="J233" s="5" t="s">
        <v>88</v>
      </c>
      <c r="K233" s="5" t="s">
        <v>112</v>
      </c>
      <c r="L233" s="5" t="s">
        <v>500</v>
      </c>
      <c r="M233" s="5" t="s">
        <v>30</v>
      </c>
      <c r="N233" s="5" t="s">
        <v>39</v>
      </c>
      <c r="O233" s="5">
        <v>25</v>
      </c>
      <c r="P233" s="7">
        <v>8429</v>
      </c>
      <c r="Q233" s="7">
        <v>8416</v>
      </c>
      <c r="R233" s="17">
        <v>1</v>
      </c>
      <c r="S233">
        <f t="shared" si="15"/>
        <v>84</v>
      </c>
      <c r="T233">
        <f t="shared" si="16"/>
        <v>8429</v>
      </c>
      <c r="U233" t="str">
        <f t="shared" si="17"/>
        <v>No</v>
      </c>
      <c r="V233">
        <f t="shared" si="18"/>
        <v>0</v>
      </c>
      <c r="W233" t="str">
        <f t="shared" si="19"/>
        <v>Yes</v>
      </c>
    </row>
    <row r="234" spans="1:23" x14ac:dyDescent="0.3">
      <c r="A234" s="12" t="s">
        <v>498</v>
      </c>
      <c r="B234" s="12" t="s">
        <v>499</v>
      </c>
      <c r="C234" s="12" t="s">
        <v>43</v>
      </c>
      <c r="D234" s="12" t="s">
        <v>75</v>
      </c>
      <c r="E234" s="13">
        <v>45317</v>
      </c>
      <c r="F234" s="13">
        <v>45369</v>
      </c>
      <c r="G234" s="13">
        <v>45352</v>
      </c>
      <c r="H234" s="12" t="s">
        <v>38</v>
      </c>
      <c r="I234" s="12" t="s">
        <v>48</v>
      </c>
      <c r="J234" s="12" t="s">
        <v>88</v>
      </c>
      <c r="K234" s="12" t="s">
        <v>114</v>
      </c>
      <c r="L234" s="12" t="s">
        <v>501</v>
      </c>
      <c r="M234" s="12" t="s">
        <v>73</v>
      </c>
      <c r="N234" s="12" t="s">
        <v>51</v>
      </c>
      <c r="O234" s="12">
        <v>4</v>
      </c>
      <c r="P234" s="14">
        <v>1501</v>
      </c>
      <c r="Q234" s="14">
        <v>0</v>
      </c>
      <c r="R234" s="15">
        <v>0.95</v>
      </c>
      <c r="S234">
        <f t="shared" si="15"/>
        <v>52</v>
      </c>
      <c r="T234">
        <f t="shared" si="16"/>
        <v>1425.95</v>
      </c>
      <c r="U234" t="str">
        <f t="shared" si="17"/>
        <v>No</v>
      </c>
      <c r="V234">
        <f t="shared" si="18"/>
        <v>0</v>
      </c>
      <c r="W234" t="str">
        <f t="shared" si="19"/>
        <v>No</v>
      </c>
    </row>
    <row r="235" spans="1:23" x14ac:dyDescent="0.3">
      <c r="A235" s="5" t="s">
        <v>498</v>
      </c>
      <c r="B235" s="5" t="s">
        <v>499</v>
      </c>
      <c r="C235" s="5" t="s">
        <v>43</v>
      </c>
      <c r="D235" s="5" t="s">
        <v>46</v>
      </c>
      <c r="E235" s="16">
        <v>45317</v>
      </c>
      <c r="F235" s="16">
        <v>45391</v>
      </c>
      <c r="G235" s="16">
        <v>45383</v>
      </c>
      <c r="H235" s="5" t="s">
        <v>44</v>
      </c>
      <c r="I235" s="5" t="s">
        <v>48</v>
      </c>
      <c r="J235" s="5" t="s">
        <v>90</v>
      </c>
      <c r="K235" s="5" t="s">
        <v>116</v>
      </c>
      <c r="L235" s="5" t="s">
        <v>502</v>
      </c>
      <c r="M235" s="5" t="s">
        <v>30</v>
      </c>
      <c r="N235" s="5" t="s">
        <v>39</v>
      </c>
      <c r="O235" s="5">
        <v>12</v>
      </c>
      <c r="P235" s="7">
        <v>8487</v>
      </c>
      <c r="Q235" s="7">
        <v>8486</v>
      </c>
      <c r="R235" s="17">
        <v>1</v>
      </c>
      <c r="S235">
        <f t="shared" si="15"/>
        <v>74</v>
      </c>
      <c r="T235">
        <f t="shared" si="16"/>
        <v>8487</v>
      </c>
      <c r="U235" t="str">
        <f t="shared" si="17"/>
        <v>No</v>
      </c>
      <c r="V235">
        <f t="shared" si="18"/>
        <v>0</v>
      </c>
      <c r="W235" t="str">
        <f t="shared" si="19"/>
        <v>Yes</v>
      </c>
    </row>
    <row r="236" spans="1:23" x14ac:dyDescent="0.3">
      <c r="A236" s="12" t="s">
        <v>503</v>
      </c>
      <c r="B236" s="12" t="s">
        <v>504</v>
      </c>
      <c r="C236" s="12" t="s">
        <v>49</v>
      </c>
      <c r="D236" s="12" t="s">
        <v>79</v>
      </c>
      <c r="E236" s="13">
        <v>45404</v>
      </c>
      <c r="F236" s="13">
        <v>45670</v>
      </c>
      <c r="G236" s="13">
        <v>45658</v>
      </c>
      <c r="H236" s="12" t="s">
        <v>83</v>
      </c>
      <c r="I236" s="12" t="s">
        <v>30</v>
      </c>
      <c r="J236" s="12" t="s">
        <v>88</v>
      </c>
      <c r="K236" s="12" t="s">
        <v>112</v>
      </c>
      <c r="L236" s="12" t="s">
        <v>505</v>
      </c>
      <c r="M236" s="12" t="s">
        <v>73</v>
      </c>
      <c r="N236" s="12" t="s">
        <v>51</v>
      </c>
      <c r="O236" s="12">
        <v>13</v>
      </c>
      <c r="P236" s="14">
        <v>6425</v>
      </c>
      <c r="Q236" s="14">
        <v>0</v>
      </c>
      <c r="R236" s="15">
        <v>0.11</v>
      </c>
      <c r="S236">
        <f t="shared" si="15"/>
        <v>266</v>
      </c>
      <c r="T236">
        <f t="shared" si="16"/>
        <v>706.75</v>
      </c>
      <c r="U236" t="str">
        <f t="shared" si="17"/>
        <v>No</v>
      </c>
      <c r="V236">
        <f t="shared" si="18"/>
        <v>0</v>
      </c>
      <c r="W236" t="str">
        <f t="shared" si="19"/>
        <v>No</v>
      </c>
    </row>
    <row r="237" spans="1:23" x14ac:dyDescent="0.3">
      <c r="A237" s="5" t="s">
        <v>503</v>
      </c>
      <c r="B237" s="5" t="s">
        <v>504</v>
      </c>
      <c r="C237" s="5" t="s">
        <v>49</v>
      </c>
      <c r="D237" s="5" t="s">
        <v>87</v>
      </c>
      <c r="E237" s="16">
        <v>45404</v>
      </c>
      <c r="F237" s="16">
        <v>45731</v>
      </c>
      <c r="G237" s="16">
        <v>45717</v>
      </c>
      <c r="H237" s="5" t="s">
        <v>89</v>
      </c>
      <c r="I237" s="5" t="s">
        <v>30</v>
      </c>
      <c r="J237" s="5" t="s">
        <v>88</v>
      </c>
      <c r="K237" s="5" t="s">
        <v>114</v>
      </c>
      <c r="L237" s="5" t="s">
        <v>506</v>
      </c>
      <c r="M237" s="5" t="s">
        <v>73</v>
      </c>
      <c r="N237" s="5" t="s">
        <v>56</v>
      </c>
      <c r="O237" s="5">
        <v>34</v>
      </c>
      <c r="P237" s="7">
        <v>8044</v>
      </c>
      <c r="Q237" s="7">
        <v>0</v>
      </c>
      <c r="R237" s="17">
        <v>0.05</v>
      </c>
      <c r="S237">
        <f t="shared" si="15"/>
        <v>327</v>
      </c>
      <c r="T237">
        <f t="shared" si="16"/>
        <v>402.20000000000005</v>
      </c>
      <c r="U237" t="str">
        <f t="shared" si="17"/>
        <v>No</v>
      </c>
      <c r="V237">
        <f t="shared" si="18"/>
        <v>0</v>
      </c>
      <c r="W237" t="str">
        <f t="shared" si="19"/>
        <v>No</v>
      </c>
    </row>
    <row r="238" spans="1:23" x14ac:dyDescent="0.3">
      <c r="A238" s="12" t="s">
        <v>503</v>
      </c>
      <c r="B238" s="12" t="s">
        <v>504</v>
      </c>
      <c r="C238" s="12" t="s">
        <v>49</v>
      </c>
      <c r="D238" s="12" t="s">
        <v>71</v>
      </c>
      <c r="E238" s="13">
        <v>45404</v>
      </c>
      <c r="F238" s="13">
        <v>45437</v>
      </c>
      <c r="G238" s="13">
        <v>45413</v>
      </c>
      <c r="H238" s="12" t="s">
        <v>50</v>
      </c>
      <c r="I238" s="12" t="s">
        <v>30</v>
      </c>
      <c r="J238" s="12" t="s">
        <v>90</v>
      </c>
      <c r="K238" s="12" t="s">
        <v>116</v>
      </c>
      <c r="L238" s="12" t="s">
        <v>507</v>
      </c>
      <c r="M238" s="12" t="s">
        <v>30</v>
      </c>
      <c r="N238" s="12" t="s">
        <v>33</v>
      </c>
      <c r="O238" s="12">
        <v>13</v>
      </c>
      <c r="P238" s="14">
        <v>9524</v>
      </c>
      <c r="Q238" s="14">
        <v>9474</v>
      </c>
      <c r="R238" s="15">
        <v>1</v>
      </c>
      <c r="S238">
        <f t="shared" si="15"/>
        <v>33</v>
      </c>
      <c r="T238">
        <f t="shared" si="16"/>
        <v>9524</v>
      </c>
      <c r="U238" t="str">
        <f t="shared" si="17"/>
        <v>No</v>
      </c>
      <c r="V238">
        <f t="shared" si="18"/>
        <v>0</v>
      </c>
      <c r="W238" t="str">
        <f t="shared" si="19"/>
        <v>Yes</v>
      </c>
    </row>
    <row r="239" spans="1:23" x14ac:dyDescent="0.3">
      <c r="A239" s="5" t="s">
        <v>508</v>
      </c>
      <c r="B239" s="5" t="s">
        <v>509</v>
      </c>
      <c r="C239" s="5" t="s">
        <v>54</v>
      </c>
      <c r="D239" s="5" t="s">
        <v>62</v>
      </c>
      <c r="E239" s="16">
        <v>45398</v>
      </c>
      <c r="F239" s="16">
        <v>45482</v>
      </c>
      <c r="G239" s="16">
        <v>45474</v>
      </c>
      <c r="H239" s="5" t="s">
        <v>60</v>
      </c>
      <c r="I239" s="5" t="s">
        <v>36</v>
      </c>
      <c r="J239" s="5" t="s">
        <v>88</v>
      </c>
      <c r="K239" s="5" t="s">
        <v>112</v>
      </c>
      <c r="L239" s="5" t="s">
        <v>510</v>
      </c>
      <c r="M239" s="5" t="s">
        <v>77</v>
      </c>
      <c r="N239" s="5" t="s">
        <v>45</v>
      </c>
      <c r="O239" s="5">
        <v>13</v>
      </c>
      <c r="P239" s="7">
        <v>4368</v>
      </c>
      <c r="Q239" s="7">
        <v>0</v>
      </c>
      <c r="R239" s="17">
        <v>0.7</v>
      </c>
      <c r="S239">
        <f t="shared" si="15"/>
        <v>84</v>
      </c>
      <c r="T239">
        <f t="shared" si="16"/>
        <v>3057.6</v>
      </c>
      <c r="U239" t="str">
        <f t="shared" si="17"/>
        <v>No</v>
      </c>
      <c r="V239">
        <f t="shared" si="18"/>
        <v>0</v>
      </c>
      <c r="W239" t="str">
        <f t="shared" si="19"/>
        <v>No</v>
      </c>
    </row>
    <row r="240" spans="1:23" x14ac:dyDescent="0.3">
      <c r="A240" s="12" t="s">
        <v>508</v>
      </c>
      <c r="B240" s="12" t="s">
        <v>509</v>
      </c>
      <c r="C240" s="12" t="s">
        <v>54</v>
      </c>
      <c r="D240" s="12" t="s">
        <v>75</v>
      </c>
      <c r="E240" s="13">
        <v>45398</v>
      </c>
      <c r="F240" s="13">
        <v>45466</v>
      </c>
      <c r="G240" s="13">
        <v>45444</v>
      </c>
      <c r="H240" s="12" t="s">
        <v>55</v>
      </c>
      <c r="I240" s="12" t="s">
        <v>36</v>
      </c>
      <c r="J240" s="12" t="s">
        <v>92</v>
      </c>
      <c r="K240" s="12" t="s">
        <v>114</v>
      </c>
      <c r="L240" s="12" t="s">
        <v>511</v>
      </c>
      <c r="M240" s="12" t="s">
        <v>73</v>
      </c>
      <c r="N240" s="12" t="s">
        <v>51</v>
      </c>
      <c r="O240" s="12">
        <v>15</v>
      </c>
      <c r="P240" s="14">
        <v>2261</v>
      </c>
      <c r="Q240" s="14">
        <v>0</v>
      </c>
      <c r="R240" s="15">
        <v>0.65</v>
      </c>
      <c r="S240">
        <f t="shared" si="15"/>
        <v>68</v>
      </c>
      <c r="T240">
        <f t="shared" si="16"/>
        <v>1469.65</v>
      </c>
      <c r="U240" t="str">
        <f t="shared" si="17"/>
        <v>No</v>
      </c>
      <c r="V240">
        <f t="shared" si="18"/>
        <v>0</v>
      </c>
      <c r="W240" t="str">
        <f t="shared" si="19"/>
        <v>No</v>
      </c>
    </row>
    <row r="241" spans="1:23" x14ac:dyDescent="0.3">
      <c r="A241" s="5" t="s">
        <v>508</v>
      </c>
      <c r="B241" s="5" t="s">
        <v>509</v>
      </c>
      <c r="C241" s="5" t="s">
        <v>54</v>
      </c>
      <c r="D241" s="5" t="s">
        <v>57</v>
      </c>
      <c r="E241" s="16">
        <v>45398</v>
      </c>
      <c r="F241" s="16">
        <v>45479</v>
      </c>
      <c r="G241" s="16">
        <v>45474</v>
      </c>
      <c r="H241" s="5" t="s">
        <v>60</v>
      </c>
      <c r="I241" s="5" t="s">
        <v>36</v>
      </c>
      <c r="J241" s="5" t="s">
        <v>90</v>
      </c>
      <c r="K241" s="5" t="s">
        <v>116</v>
      </c>
      <c r="L241" s="5" t="s">
        <v>512</v>
      </c>
      <c r="M241" s="5" t="s">
        <v>30</v>
      </c>
      <c r="N241" s="5" t="s">
        <v>39</v>
      </c>
      <c r="O241" s="5">
        <v>27</v>
      </c>
      <c r="P241" s="7">
        <v>8706</v>
      </c>
      <c r="Q241" s="7">
        <v>8333</v>
      </c>
      <c r="R241" s="17">
        <v>1</v>
      </c>
      <c r="S241">
        <f t="shared" si="15"/>
        <v>81</v>
      </c>
      <c r="T241">
        <f t="shared" si="16"/>
        <v>8706</v>
      </c>
      <c r="U241" t="str">
        <f t="shared" si="17"/>
        <v>No</v>
      </c>
      <c r="V241">
        <f t="shared" si="18"/>
        <v>0</v>
      </c>
      <c r="W241" t="str">
        <f t="shared" si="19"/>
        <v>Yes</v>
      </c>
    </row>
    <row r="242" spans="1:23" x14ac:dyDescent="0.3">
      <c r="A242" s="12" t="s">
        <v>513</v>
      </c>
      <c r="B242" s="12" t="s">
        <v>514</v>
      </c>
      <c r="C242" s="12" t="s">
        <v>31</v>
      </c>
      <c r="D242" s="12" t="s">
        <v>46</v>
      </c>
      <c r="E242" s="13">
        <v>45443</v>
      </c>
      <c r="F242" s="13">
        <v>45661</v>
      </c>
      <c r="G242" s="13">
        <v>45658</v>
      </c>
      <c r="H242" s="12" t="s">
        <v>83</v>
      </c>
      <c r="I242" s="12" t="s">
        <v>36</v>
      </c>
      <c r="J242" s="12" t="s">
        <v>88</v>
      </c>
      <c r="K242" s="12" t="s">
        <v>112</v>
      </c>
      <c r="L242" s="12" t="s">
        <v>515</v>
      </c>
      <c r="M242" s="12" t="s">
        <v>73</v>
      </c>
      <c r="N242" s="12" t="s">
        <v>39</v>
      </c>
      <c r="O242" s="12">
        <v>26</v>
      </c>
      <c r="P242" s="14">
        <v>1149</v>
      </c>
      <c r="Q242" s="14">
        <v>0</v>
      </c>
      <c r="R242" s="15">
        <v>0.08</v>
      </c>
      <c r="S242">
        <f t="shared" si="15"/>
        <v>218</v>
      </c>
      <c r="T242">
        <f t="shared" si="16"/>
        <v>91.92</v>
      </c>
      <c r="U242" t="str">
        <f t="shared" si="17"/>
        <v>No</v>
      </c>
      <c r="V242">
        <f t="shared" si="18"/>
        <v>0</v>
      </c>
      <c r="W242" t="str">
        <f t="shared" si="19"/>
        <v>No</v>
      </c>
    </row>
    <row r="243" spans="1:23" x14ac:dyDescent="0.3">
      <c r="A243" s="5" t="s">
        <v>513</v>
      </c>
      <c r="B243" s="5" t="s">
        <v>514</v>
      </c>
      <c r="C243" s="5" t="s">
        <v>31</v>
      </c>
      <c r="D243" s="5" t="s">
        <v>34</v>
      </c>
      <c r="E243" s="16">
        <v>45443</v>
      </c>
      <c r="F243" s="16">
        <v>45719</v>
      </c>
      <c r="G243" s="16">
        <v>45717</v>
      </c>
      <c r="H243" s="5" t="s">
        <v>89</v>
      </c>
      <c r="I243" s="5" t="s">
        <v>36</v>
      </c>
      <c r="J243" s="5" t="s">
        <v>90</v>
      </c>
      <c r="K243" s="5" t="s">
        <v>114</v>
      </c>
      <c r="L243" s="5" t="s">
        <v>516</v>
      </c>
      <c r="M243" s="5" t="s">
        <v>73</v>
      </c>
      <c r="N243" s="5" t="s">
        <v>70</v>
      </c>
      <c r="O243" s="5">
        <v>5</v>
      </c>
      <c r="P243" s="7">
        <v>5011</v>
      </c>
      <c r="Q243" s="7">
        <v>0</v>
      </c>
      <c r="R243" s="17">
        <v>0.09</v>
      </c>
      <c r="S243">
        <f t="shared" si="15"/>
        <v>276</v>
      </c>
      <c r="T243">
        <f t="shared" si="16"/>
        <v>450.99</v>
      </c>
      <c r="U243" t="str">
        <f t="shared" si="17"/>
        <v>No</v>
      </c>
      <c r="V243">
        <f t="shared" si="18"/>
        <v>0</v>
      </c>
      <c r="W243" t="str">
        <f t="shared" si="19"/>
        <v>No</v>
      </c>
    </row>
    <row r="244" spans="1:23" x14ac:dyDescent="0.3">
      <c r="A244" s="12" t="s">
        <v>513</v>
      </c>
      <c r="B244" s="12" t="s">
        <v>514</v>
      </c>
      <c r="C244" s="12" t="s">
        <v>31</v>
      </c>
      <c r="D244" s="12" t="s">
        <v>82</v>
      </c>
      <c r="E244" s="13">
        <v>45443</v>
      </c>
      <c r="F244" s="13">
        <v>45476</v>
      </c>
      <c r="G244" s="13">
        <v>45474</v>
      </c>
      <c r="H244" s="12" t="s">
        <v>60</v>
      </c>
      <c r="I244" s="12" t="s">
        <v>36</v>
      </c>
      <c r="J244" s="12" t="s">
        <v>88</v>
      </c>
      <c r="K244" s="12" t="s">
        <v>116</v>
      </c>
      <c r="L244" s="12" t="s">
        <v>517</v>
      </c>
      <c r="M244" s="12" t="s">
        <v>30</v>
      </c>
      <c r="N244" s="12" t="s">
        <v>56</v>
      </c>
      <c r="O244" s="12">
        <v>5</v>
      </c>
      <c r="P244" s="14">
        <v>6163</v>
      </c>
      <c r="Q244" s="14">
        <v>5756</v>
      </c>
      <c r="R244" s="15">
        <v>1</v>
      </c>
      <c r="S244">
        <f t="shared" si="15"/>
        <v>33</v>
      </c>
      <c r="T244">
        <f t="shared" si="16"/>
        <v>6163</v>
      </c>
      <c r="U244" t="str">
        <f t="shared" si="17"/>
        <v>No</v>
      </c>
      <c r="V244">
        <f t="shared" si="18"/>
        <v>0</v>
      </c>
      <c r="W244" t="str">
        <f t="shared" si="19"/>
        <v>Yes</v>
      </c>
    </row>
    <row r="245" spans="1:23" x14ac:dyDescent="0.3">
      <c r="A245" s="5" t="s">
        <v>518</v>
      </c>
      <c r="B245" s="5" t="s">
        <v>519</v>
      </c>
      <c r="C245" s="5" t="s">
        <v>59</v>
      </c>
      <c r="D245" s="5" t="s">
        <v>62</v>
      </c>
      <c r="E245" s="16">
        <v>45298</v>
      </c>
      <c r="F245" s="16">
        <v>45728</v>
      </c>
      <c r="G245" s="16">
        <v>45717</v>
      </c>
      <c r="H245" s="5" t="s">
        <v>89</v>
      </c>
      <c r="I245" s="5" t="s">
        <v>36</v>
      </c>
      <c r="J245" s="5" t="s">
        <v>90</v>
      </c>
      <c r="K245" s="5" t="s">
        <v>112</v>
      </c>
      <c r="L245" s="5" t="s">
        <v>520</v>
      </c>
      <c r="M245" s="5" t="s">
        <v>73</v>
      </c>
      <c r="N245" s="5" t="s">
        <v>56</v>
      </c>
      <c r="O245" s="5">
        <v>4</v>
      </c>
      <c r="P245" s="7">
        <v>7524</v>
      </c>
      <c r="Q245" s="7">
        <v>0</v>
      </c>
      <c r="R245" s="17">
        <v>0.47</v>
      </c>
      <c r="S245">
        <f t="shared" si="15"/>
        <v>430</v>
      </c>
      <c r="T245">
        <f t="shared" si="16"/>
        <v>3536.2799999999997</v>
      </c>
      <c r="U245" t="str">
        <f t="shared" si="17"/>
        <v>No</v>
      </c>
      <c r="V245">
        <f t="shared" si="18"/>
        <v>0</v>
      </c>
      <c r="W245" t="str">
        <f t="shared" si="19"/>
        <v>No</v>
      </c>
    </row>
    <row r="246" spans="1:23" x14ac:dyDescent="0.3">
      <c r="A246" s="12" t="s">
        <v>518</v>
      </c>
      <c r="B246" s="12" t="s">
        <v>519</v>
      </c>
      <c r="C246" s="12" t="s">
        <v>59</v>
      </c>
      <c r="D246" s="12" t="s">
        <v>87</v>
      </c>
      <c r="E246" s="13">
        <v>45298</v>
      </c>
      <c r="F246" s="13">
        <v>45560</v>
      </c>
      <c r="G246" s="13">
        <v>45536</v>
      </c>
      <c r="H246" s="12" t="s">
        <v>69</v>
      </c>
      <c r="I246" s="12" t="s">
        <v>36</v>
      </c>
      <c r="J246" s="12" t="s">
        <v>90</v>
      </c>
      <c r="K246" s="12" t="s">
        <v>114</v>
      </c>
      <c r="L246" s="12" t="s">
        <v>521</v>
      </c>
      <c r="M246" s="12" t="s">
        <v>30</v>
      </c>
      <c r="N246" s="12" t="s">
        <v>51</v>
      </c>
      <c r="O246" s="12">
        <v>10</v>
      </c>
      <c r="P246" s="14">
        <v>2202</v>
      </c>
      <c r="Q246" s="14">
        <v>1878</v>
      </c>
      <c r="R246" s="15">
        <v>1</v>
      </c>
      <c r="S246">
        <f t="shared" si="15"/>
        <v>262</v>
      </c>
      <c r="T246">
        <f t="shared" si="16"/>
        <v>2202</v>
      </c>
      <c r="U246" t="str">
        <f t="shared" si="17"/>
        <v>No</v>
      </c>
      <c r="V246">
        <f t="shared" si="18"/>
        <v>0</v>
      </c>
      <c r="W246" t="str">
        <f t="shared" si="19"/>
        <v>Yes</v>
      </c>
    </row>
    <row r="247" spans="1:23" x14ac:dyDescent="0.3">
      <c r="A247" s="5" t="s">
        <v>518</v>
      </c>
      <c r="B247" s="5" t="s">
        <v>519</v>
      </c>
      <c r="C247" s="5" t="s">
        <v>59</v>
      </c>
      <c r="D247" s="5" t="s">
        <v>46</v>
      </c>
      <c r="E247" s="16">
        <v>45298</v>
      </c>
      <c r="F247" s="16">
        <v>45733</v>
      </c>
      <c r="G247" s="16">
        <v>45717</v>
      </c>
      <c r="H247" s="5" t="s">
        <v>89</v>
      </c>
      <c r="I247" s="5" t="s">
        <v>36</v>
      </c>
      <c r="J247" s="5" t="s">
        <v>88</v>
      </c>
      <c r="K247" s="5" t="s">
        <v>116</v>
      </c>
      <c r="L247" s="5" t="s">
        <v>522</v>
      </c>
      <c r="M247" s="5" t="s">
        <v>73</v>
      </c>
      <c r="N247" s="5" t="s">
        <v>56</v>
      </c>
      <c r="O247" s="5">
        <v>21</v>
      </c>
      <c r="P247" s="7">
        <v>6835</v>
      </c>
      <c r="Q247" s="7">
        <v>0</v>
      </c>
      <c r="R247" s="17">
        <v>0.57999999999999996</v>
      </c>
      <c r="S247">
        <f t="shared" si="15"/>
        <v>435</v>
      </c>
      <c r="T247">
        <f t="shared" si="16"/>
        <v>3964.2999999999997</v>
      </c>
      <c r="U247" t="str">
        <f t="shared" si="17"/>
        <v>No</v>
      </c>
      <c r="V247">
        <f t="shared" si="18"/>
        <v>0</v>
      </c>
      <c r="W247" t="str">
        <f t="shared" si="19"/>
        <v>No</v>
      </c>
    </row>
    <row r="248" spans="1:23" x14ac:dyDescent="0.3">
      <c r="A248" s="12" t="s">
        <v>523</v>
      </c>
      <c r="B248" s="12" t="s">
        <v>524</v>
      </c>
      <c r="C248" s="12" t="s">
        <v>43</v>
      </c>
      <c r="D248" s="12" t="s">
        <v>40</v>
      </c>
      <c r="E248" s="13">
        <v>45371</v>
      </c>
      <c r="F248" s="13">
        <v>45448</v>
      </c>
      <c r="G248" s="13">
        <v>45444</v>
      </c>
      <c r="H248" s="12" t="s">
        <v>55</v>
      </c>
      <c r="I248" s="12" t="s">
        <v>42</v>
      </c>
      <c r="J248" s="12" t="s">
        <v>90</v>
      </c>
      <c r="K248" s="12" t="s">
        <v>112</v>
      </c>
      <c r="L248" s="12" t="s">
        <v>525</v>
      </c>
      <c r="M248" s="12" t="s">
        <v>30</v>
      </c>
      <c r="N248" s="12" t="s">
        <v>39</v>
      </c>
      <c r="O248" s="12">
        <v>24</v>
      </c>
      <c r="P248" s="14">
        <v>8645</v>
      </c>
      <c r="Q248" s="14">
        <v>8633</v>
      </c>
      <c r="R248" s="15">
        <v>1</v>
      </c>
      <c r="S248">
        <f t="shared" si="15"/>
        <v>77</v>
      </c>
      <c r="T248">
        <f t="shared" si="16"/>
        <v>8645</v>
      </c>
      <c r="U248" t="str">
        <f t="shared" si="17"/>
        <v>No</v>
      </c>
      <c r="V248">
        <f t="shared" si="18"/>
        <v>0</v>
      </c>
      <c r="W248" t="str">
        <f t="shared" si="19"/>
        <v>Yes</v>
      </c>
    </row>
    <row r="249" spans="1:23" x14ac:dyDescent="0.3">
      <c r="A249" s="5" t="s">
        <v>523</v>
      </c>
      <c r="B249" s="5" t="s">
        <v>524</v>
      </c>
      <c r="C249" s="5" t="s">
        <v>43</v>
      </c>
      <c r="D249" s="5" t="s">
        <v>71</v>
      </c>
      <c r="E249" s="16">
        <v>45371</v>
      </c>
      <c r="F249" s="16">
        <v>45437</v>
      </c>
      <c r="G249" s="16">
        <v>45413</v>
      </c>
      <c r="H249" s="5" t="s">
        <v>50</v>
      </c>
      <c r="I249" s="5" t="s">
        <v>42</v>
      </c>
      <c r="J249" s="5" t="s">
        <v>88</v>
      </c>
      <c r="K249" s="5" t="s">
        <v>114</v>
      </c>
      <c r="L249" s="5" t="s">
        <v>526</v>
      </c>
      <c r="M249" s="5" t="s">
        <v>30</v>
      </c>
      <c r="N249" s="5" t="s">
        <v>33</v>
      </c>
      <c r="O249" s="5">
        <v>19</v>
      </c>
      <c r="P249" s="7">
        <v>9360</v>
      </c>
      <c r="Q249" s="7">
        <v>9196</v>
      </c>
      <c r="R249" s="17">
        <v>1</v>
      </c>
      <c r="S249">
        <f t="shared" si="15"/>
        <v>66</v>
      </c>
      <c r="T249">
        <f t="shared" si="16"/>
        <v>9360</v>
      </c>
      <c r="U249" t="str">
        <f t="shared" si="17"/>
        <v>No</v>
      </c>
      <c r="V249">
        <f t="shared" si="18"/>
        <v>0</v>
      </c>
      <c r="W249" t="str">
        <f t="shared" si="19"/>
        <v>Yes</v>
      </c>
    </row>
    <row r="250" spans="1:23" x14ac:dyDescent="0.3">
      <c r="A250" s="12" t="s">
        <v>523</v>
      </c>
      <c r="B250" s="12" t="s">
        <v>524</v>
      </c>
      <c r="C250" s="12" t="s">
        <v>43</v>
      </c>
      <c r="D250" s="12" t="s">
        <v>67</v>
      </c>
      <c r="E250" s="13">
        <v>45371</v>
      </c>
      <c r="F250" s="13">
        <v>45458</v>
      </c>
      <c r="G250" s="13">
        <v>45444</v>
      </c>
      <c r="H250" s="12" t="s">
        <v>55</v>
      </c>
      <c r="I250" s="12" t="s">
        <v>42</v>
      </c>
      <c r="J250" s="12" t="s">
        <v>88</v>
      </c>
      <c r="K250" s="12" t="s">
        <v>116</v>
      </c>
      <c r="L250" s="12" t="s">
        <v>527</v>
      </c>
      <c r="M250" s="12" t="s">
        <v>73</v>
      </c>
      <c r="N250" s="12" t="s">
        <v>33</v>
      </c>
      <c r="O250" s="12">
        <v>28</v>
      </c>
      <c r="P250" s="14">
        <v>2183</v>
      </c>
      <c r="Q250" s="14">
        <v>0</v>
      </c>
      <c r="R250" s="15">
        <v>0.37</v>
      </c>
      <c r="S250">
        <f t="shared" si="15"/>
        <v>87</v>
      </c>
      <c r="T250">
        <f t="shared" si="16"/>
        <v>807.71</v>
      </c>
      <c r="U250" t="str">
        <f t="shared" si="17"/>
        <v>No</v>
      </c>
      <c r="V250">
        <f t="shared" si="18"/>
        <v>0</v>
      </c>
      <c r="W250" t="str">
        <f t="shared" si="19"/>
        <v>No</v>
      </c>
    </row>
    <row r="251" spans="1:23" x14ac:dyDescent="0.3">
      <c r="A251" s="5" t="s">
        <v>528</v>
      </c>
      <c r="B251" s="5" t="s">
        <v>529</v>
      </c>
      <c r="C251" s="5" t="s">
        <v>59</v>
      </c>
      <c r="D251" s="5" t="s">
        <v>67</v>
      </c>
      <c r="E251" s="16">
        <v>45541</v>
      </c>
      <c r="F251" s="16">
        <v>45785</v>
      </c>
      <c r="G251" s="16">
        <v>45778</v>
      </c>
      <c r="H251" s="5" t="s">
        <v>93</v>
      </c>
      <c r="I251" s="5" t="s">
        <v>48</v>
      </c>
      <c r="J251" s="5" t="s">
        <v>92</v>
      </c>
      <c r="K251" s="5" t="s">
        <v>112</v>
      </c>
      <c r="L251" s="5" t="s">
        <v>530</v>
      </c>
      <c r="M251" s="5" t="s">
        <v>77</v>
      </c>
      <c r="N251" s="5" t="s">
        <v>33</v>
      </c>
      <c r="O251" s="5">
        <v>17</v>
      </c>
      <c r="P251" s="7">
        <v>1713</v>
      </c>
      <c r="Q251" s="7">
        <v>0</v>
      </c>
      <c r="R251" s="17">
        <v>0.54</v>
      </c>
      <c r="S251">
        <f t="shared" si="15"/>
        <v>244</v>
      </c>
      <c r="T251">
        <f t="shared" si="16"/>
        <v>925.0200000000001</v>
      </c>
      <c r="U251" t="str">
        <f t="shared" si="17"/>
        <v>No</v>
      </c>
      <c r="V251">
        <f t="shared" si="18"/>
        <v>0</v>
      </c>
      <c r="W251" t="str">
        <f t="shared" si="19"/>
        <v>No</v>
      </c>
    </row>
    <row r="252" spans="1:23" x14ac:dyDescent="0.3">
      <c r="A252" s="12" t="s">
        <v>528</v>
      </c>
      <c r="B252" s="12" t="s">
        <v>529</v>
      </c>
      <c r="C252" s="12" t="s">
        <v>59</v>
      </c>
      <c r="D252" s="12" t="s">
        <v>82</v>
      </c>
      <c r="E252" s="13">
        <v>45541</v>
      </c>
      <c r="F252" s="13">
        <v>45766</v>
      </c>
      <c r="G252" s="13">
        <v>45748</v>
      </c>
      <c r="H252" s="12" t="s">
        <v>91</v>
      </c>
      <c r="I252" s="12" t="s">
        <v>48</v>
      </c>
      <c r="J252" s="12" t="s">
        <v>90</v>
      </c>
      <c r="K252" s="12" t="s">
        <v>114</v>
      </c>
      <c r="L252" s="12" t="s">
        <v>531</v>
      </c>
      <c r="M252" s="12" t="s">
        <v>73</v>
      </c>
      <c r="N252" s="12" t="s">
        <v>56</v>
      </c>
      <c r="O252" s="12">
        <v>16</v>
      </c>
      <c r="P252" s="14">
        <v>6400</v>
      </c>
      <c r="Q252" s="14">
        <v>0</v>
      </c>
      <c r="R252" s="15">
        <v>0.91</v>
      </c>
      <c r="S252">
        <f t="shared" si="15"/>
        <v>225</v>
      </c>
      <c r="T252">
        <f t="shared" si="16"/>
        <v>5824</v>
      </c>
      <c r="U252" t="str">
        <f t="shared" si="17"/>
        <v>No</v>
      </c>
      <c r="V252">
        <f t="shared" si="18"/>
        <v>0</v>
      </c>
      <c r="W252" t="str">
        <f t="shared" si="19"/>
        <v>No</v>
      </c>
    </row>
    <row r="253" spans="1:23" x14ac:dyDescent="0.3">
      <c r="A253" s="5" t="s">
        <v>528</v>
      </c>
      <c r="B253" s="5" t="s">
        <v>529</v>
      </c>
      <c r="C253" s="5" t="s">
        <v>59</v>
      </c>
      <c r="D253" s="5" t="s">
        <v>82</v>
      </c>
      <c r="E253" s="16">
        <v>45541</v>
      </c>
      <c r="F253" s="16">
        <v>45741</v>
      </c>
      <c r="G253" s="16">
        <v>45717</v>
      </c>
      <c r="H253" s="5" t="s">
        <v>89</v>
      </c>
      <c r="I253" s="5" t="s">
        <v>48</v>
      </c>
      <c r="J253" s="5" t="s">
        <v>88</v>
      </c>
      <c r="K253" s="5" t="s">
        <v>116</v>
      </c>
      <c r="L253" s="5" t="s">
        <v>532</v>
      </c>
      <c r="M253" s="5" t="s">
        <v>77</v>
      </c>
      <c r="N253" s="5" t="s">
        <v>45</v>
      </c>
      <c r="O253" s="5">
        <v>14</v>
      </c>
      <c r="P253" s="7">
        <v>3319</v>
      </c>
      <c r="Q253" s="7">
        <v>0</v>
      </c>
      <c r="R253" s="17">
        <v>0.2</v>
      </c>
      <c r="S253">
        <f t="shared" si="15"/>
        <v>200</v>
      </c>
      <c r="T253">
        <f t="shared" si="16"/>
        <v>663.80000000000007</v>
      </c>
      <c r="U253" t="str">
        <f t="shared" si="17"/>
        <v>No</v>
      </c>
      <c r="V253">
        <f t="shared" si="18"/>
        <v>0</v>
      </c>
      <c r="W253" t="str">
        <f t="shared" si="19"/>
        <v>No</v>
      </c>
    </row>
    <row r="254" spans="1:23" x14ac:dyDescent="0.3">
      <c r="A254" s="12" t="s">
        <v>533</v>
      </c>
      <c r="B254" s="12" t="s">
        <v>534</v>
      </c>
      <c r="C254" s="12" t="s">
        <v>59</v>
      </c>
      <c r="D254" s="12" t="s">
        <v>34</v>
      </c>
      <c r="E254" s="13">
        <v>45359</v>
      </c>
      <c r="F254" s="13">
        <v>45614</v>
      </c>
      <c r="G254" s="13">
        <v>45597</v>
      </c>
      <c r="H254" s="12" t="s">
        <v>78</v>
      </c>
      <c r="I254" s="12" t="s">
        <v>30</v>
      </c>
      <c r="J254" s="12" t="s">
        <v>92</v>
      </c>
      <c r="K254" s="12" t="s">
        <v>112</v>
      </c>
      <c r="L254" s="12" t="s">
        <v>535</v>
      </c>
      <c r="M254" s="12" t="s">
        <v>77</v>
      </c>
      <c r="N254" s="12" t="s">
        <v>39</v>
      </c>
      <c r="O254" s="12">
        <v>17</v>
      </c>
      <c r="P254" s="14">
        <v>8340</v>
      </c>
      <c r="Q254" s="14">
        <v>0</v>
      </c>
      <c r="R254" s="15">
        <v>0.02</v>
      </c>
      <c r="S254">
        <f t="shared" si="15"/>
        <v>255</v>
      </c>
      <c r="T254">
        <f t="shared" si="16"/>
        <v>166.8</v>
      </c>
      <c r="U254" t="str">
        <f t="shared" si="17"/>
        <v>No</v>
      </c>
      <c r="V254">
        <f t="shared" si="18"/>
        <v>0</v>
      </c>
      <c r="W254" t="str">
        <f t="shared" si="19"/>
        <v>No</v>
      </c>
    </row>
    <row r="255" spans="1:23" x14ac:dyDescent="0.3">
      <c r="A255" s="5" t="s">
        <v>533</v>
      </c>
      <c r="B255" s="5" t="s">
        <v>534</v>
      </c>
      <c r="C255" s="5" t="s">
        <v>59</v>
      </c>
      <c r="D255" s="5" t="s">
        <v>52</v>
      </c>
      <c r="E255" s="16">
        <v>45359</v>
      </c>
      <c r="F255" s="16">
        <v>45560</v>
      </c>
      <c r="G255" s="16">
        <v>45536</v>
      </c>
      <c r="H255" s="5" t="s">
        <v>69</v>
      </c>
      <c r="I255" s="5" t="s">
        <v>30</v>
      </c>
      <c r="J255" s="5" t="s">
        <v>88</v>
      </c>
      <c r="K255" s="5" t="s">
        <v>114</v>
      </c>
      <c r="L255" s="5" t="s">
        <v>536</v>
      </c>
      <c r="M255" s="5" t="s">
        <v>30</v>
      </c>
      <c r="N255" s="5" t="s">
        <v>66</v>
      </c>
      <c r="O255" s="5">
        <v>15</v>
      </c>
      <c r="P255" s="7">
        <v>4749</v>
      </c>
      <c r="Q255" s="7">
        <v>4572</v>
      </c>
      <c r="R255" s="17">
        <v>1</v>
      </c>
      <c r="S255">
        <f t="shared" si="15"/>
        <v>201</v>
      </c>
      <c r="T255">
        <f t="shared" si="16"/>
        <v>4749</v>
      </c>
      <c r="U255" t="str">
        <f t="shared" si="17"/>
        <v>No</v>
      </c>
      <c r="V255">
        <f t="shared" si="18"/>
        <v>0</v>
      </c>
      <c r="W255" t="str">
        <f t="shared" si="19"/>
        <v>Yes</v>
      </c>
    </row>
    <row r="256" spans="1:23" x14ac:dyDescent="0.3">
      <c r="A256" s="12" t="s">
        <v>533</v>
      </c>
      <c r="B256" s="12" t="s">
        <v>534</v>
      </c>
      <c r="C256" s="12" t="s">
        <v>59</v>
      </c>
      <c r="D256" s="12" t="s">
        <v>75</v>
      </c>
      <c r="E256" s="13">
        <v>45359</v>
      </c>
      <c r="F256" s="13">
        <v>45615</v>
      </c>
      <c r="G256" s="13">
        <v>45597</v>
      </c>
      <c r="H256" s="12" t="s">
        <v>78</v>
      </c>
      <c r="I256" s="12" t="s">
        <v>30</v>
      </c>
      <c r="J256" s="12" t="s">
        <v>88</v>
      </c>
      <c r="K256" s="12" t="s">
        <v>116</v>
      </c>
      <c r="L256" s="12" t="s">
        <v>537</v>
      </c>
      <c r="M256" s="12" t="s">
        <v>77</v>
      </c>
      <c r="N256" s="12" t="s">
        <v>39</v>
      </c>
      <c r="O256" s="12">
        <v>24</v>
      </c>
      <c r="P256" s="14">
        <v>6222</v>
      </c>
      <c r="Q256" s="14">
        <v>0</v>
      </c>
      <c r="R256" s="15">
        <v>0.51</v>
      </c>
      <c r="S256">
        <f t="shared" si="15"/>
        <v>256</v>
      </c>
      <c r="T256">
        <f t="shared" si="16"/>
        <v>3173.2200000000003</v>
      </c>
      <c r="U256" t="str">
        <f t="shared" si="17"/>
        <v>No</v>
      </c>
      <c r="V256">
        <f t="shared" si="18"/>
        <v>0</v>
      </c>
      <c r="W256" t="str">
        <f t="shared" si="19"/>
        <v>No</v>
      </c>
    </row>
    <row r="257" spans="1:23" x14ac:dyDescent="0.3">
      <c r="A257" s="5" t="s">
        <v>538</v>
      </c>
      <c r="B257" s="5" t="s">
        <v>539</v>
      </c>
      <c r="C257" s="5" t="s">
        <v>31</v>
      </c>
      <c r="D257" s="5" t="s">
        <v>46</v>
      </c>
      <c r="E257" s="16">
        <v>45320</v>
      </c>
      <c r="F257" s="16">
        <v>45636</v>
      </c>
      <c r="G257" s="16">
        <v>45627</v>
      </c>
      <c r="H257" s="5" t="s">
        <v>81</v>
      </c>
      <c r="I257" s="5" t="s">
        <v>30</v>
      </c>
      <c r="J257" s="5" t="s">
        <v>88</v>
      </c>
      <c r="K257" s="5" t="s">
        <v>112</v>
      </c>
      <c r="L257" s="5" t="s">
        <v>540</v>
      </c>
      <c r="M257" s="5" t="s">
        <v>73</v>
      </c>
      <c r="N257" s="5" t="s">
        <v>45</v>
      </c>
      <c r="O257" s="5">
        <v>35</v>
      </c>
      <c r="P257" s="7">
        <v>9246</v>
      </c>
      <c r="Q257" s="7">
        <v>0</v>
      </c>
      <c r="R257" s="17">
        <v>0.54</v>
      </c>
      <c r="S257">
        <f t="shared" si="15"/>
        <v>316</v>
      </c>
      <c r="T257">
        <f t="shared" si="16"/>
        <v>4992.84</v>
      </c>
      <c r="U257" t="str">
        <f t="shared" si="17"/>
        <v>No</v>
      </c>
      <c r="V257">
        <f t="shared" si="18"/>
        <v>0</v>
      </c>
      <c r="W257" t="str">
        <f t="shared" si="19"/>
        <v>No</v>
      </c>
    </row>
    <row r="258" spans="1:23" x14ac:dyDescent="0.3">
      <c r="A258" s="12" t="s">
        <v>538</v>
      </c>
      <c r="B258" s="12" t="s">
        <v>539</v>
      </c>
      <c r="C258" s="12" t="s">
        <v>31</v>
      </c>
      <c r="D258" s="12" t="s">
        <v>46</v>
      </c>
      <c r="E258" s="13">
        <v>45320</v>
      </c>
      <c r="F258" s="13">
        <v>45560</v>
      </c>
      <c r="G258" s="13">
        <v>45536</v>
      </c>
      <c r="H258" s="12" t="s">
        <v>69</v>
      </c>
      <c r="I258" s="12" t="s">
        <v>30</v>
      </c>
      <c r="J258" s="12" t="s">
        <v>88</v>
      </c>
      <c r="K258" s="12" t="s">
        <v>114</v>
      </c>
      <c r="L258" s="12" t="s">
        <v>541</v>
      </c>
      <c r="M258" s="12" t="s">
        <v>30</v>
      </c>
      <c r="N258" s="12" t="s">
        <v>45</v>
      </c>
      <c r="O258" s="12">
        <v>6</v>
      </c>
      <c r="P258" s="14">
        <v>7327</v>
      </c>
      <c r="Q258" s="14">
        <v>7120</v>
      </c>
      <c r="R258" s="15">
        <v>1</v>
      </c>
      <c r="S258">
        <f t="shared" si="15"/>
        <v>240</v>
      </c>
      <c r="T258">
        <f t="shared" si="16"/>
        <v>7327</v>
      </c>
      <c r="U258" t="str">
        <f t="shared" si="17"/>
        <v>No</v>
      </c>
      <c r="V258">
        <f t="shared" si="18"/>
        <v>0</v>
      </c>
      <c r="W258" t="str">
        <f t="shared" si="19"/>
        <v>Yes</v>
      </c>
    </row>
    <row r="259" spans="1:23" x14ac:dyDescent="0.3">
      <c r="A259" s="5" t="s">
        <v>538</v>
      </c>
      <c r="B259" s="5" t="s">
        <v>539</v>
      </c>
      <c r="C259" s="5" t="s">
        <v>31</v>
      </c>
      <c r="D259" s="5" t="s">
        <v>34</v>
      </c>
      <c r="E259" s="16">
        <v>45320</v>
      </c>
      <c r="F259" s="16">
        <v>45582</v>
      </c>
      <c r="G259" s="16">
        <v>45566</v>
      </c>
      <c r="H259" s="5" t="s">
        <v>74</v>
      </c>
      <c r="I259" s="5" t="s">
        <v>30</v>
      </c>
      <c r="J259" s="5" t="s">
        <v>88</v>
      </c>
      <c r="K259" s="5" t="s">
        <v>116</v>
      </c>
      <c r="L259" s="5" t="s">
        <v>542</v>
      </c>
      <c r="M259" s="5" t="s">
        <v>77</v>
      </c>
      <c r="N259" s="5" t="s">
        <v>39</v>
      </c>
      <c r="O259" s="5">
        <v>19</v>
      </c>
      <c r="P259" s="7">
        <v>6331</v>
      </c>
      <c r="Q259" s="7">
        <v>0</v>
      </c>
      <c r="R259" s="17">
        <v>0.25</v>
      </c>
      <c r="S259">
        <f t="shared" ref="S259:S301" si="20">F259-E259</f>
        <v>262</v>
      </c>
      <c r="T259">
        <f t="shared" ref="T259:T301" si="21">R259*P259</f>
        <v>1582.75</v>
      </c>
      <c r="U259" t="str">
        <f t="shared" ref="U259:U301" si="22">IF(AND(Q259&gt;0,Q259&gt;P259),"Yes","No")</f>
        <v>No</v>
      </c>
      <c r="V259">
        <f t="shared" ref="V259:V301" si="23">IF(U259="Yes",Q259-P259,0)</f>
        <v>0</v>
      </c>
      <c r="W259" t="str">
        <f t="shared" ref="W259:W301" si="24">IF(Q259&gt;0,"Yes","No")</f>
        <v>No</v>
      </c>
    </row>
    <row r="260" spans="1:23" x14ac:dyDescent="0.3">
      <c r="A260" s="12" t="s">
        <v>543</v>
      </c>
      <c r="B260" s="12" t="s">
        <v>544</v>
      </c>
      <c r="C260" s="12" t="s">
        <v>43</v>
      </c>
      <c r="D260" s="12" t="s">
        <v>79</v>
      </c>
      <c r="E260" s="13">
        <v>45339</v>
      </c>
      <c r="F260" s="13">
        <v>45911</v>
      </c>
      <c r="G260" s="13">
        <v>45901</v>
      </c>
      <c r="H260" s="12" t="s">
        <v>98</v>
      </c>
      <c r="I260" s="12" t="s">
        <v>36</v>
      </c>
      <c r="J260" s="12" t="s">
        <v>88</v>
      </c>
      <c r="K260" s="12" t="s">
        <v>112</v>
      </c>
      <c r="L260" s="12" t="s">
        <v>545</v>
      </c>
      <c r="M260" s="12" t="s">
        <v>73</v>
      </c>
      <c r="N260" s="12" t="s">
        <v>70</v>
      </c>
      <c r="O260" s="12">
        <v>8</v>
      </c>
      <c r="P260" s="14">
        <v>2256</v>
      </c>
      <c r="Q260" s="14">
        <v>0</v>
      </c>
      <c r="R260" s="15">
        <v>0.06</v>
      </c>
      <c r="S260">
        <f t="shared" si="20"/>
        <v>572</v>
      </c>
      <c r="T260">
        <f t="shared" si="21"/>
        <v>135.35999999999999</v>
      </c>
      <c r="U260" t="str">
        <f t="shared" si="22"/>
        <v>No</v>
      </c>
      <c r="V260">
        <f t="shared" si="23"/>
        <v>0</v>
      </c>
      <c r="W260" t="str">
        <f t="shared" si="24"/>
        <v>No</v>
      </c>
    </row>
    <row r="261" spans="1:23" x14ac:dyDescent="0.3">
      <c r="A261" s="5" t="s">
        <v>543</v>
      </c>
      <c r="B261" s="5" t="s">
        <v>544</v>
      </c>
      <c r="C261" s="5" t="s">
        <v>43</v>
      </c>
      <c r="D261" s="5" t="s">
        <v>71</v>
      </c>
      <c r="E261" s="16">
        <v>45339</v>
      </c>
      <c r="F261" s="16">
        <v>45937</v>
      </c>
      <c r="G261" s="16">
        <v>45931</v>
      </c>
      <c r="H261" s="5" t="s">
        <v>99</v>
      </c>
      <c r="I261" s="5" t="s">
        <v>36</v>
      </c>
      <c r="J261" s="5" t="s">
        <v>90</v>
      </c>
      <c r="K261" s="5" t="s">
        <v>114</v>
      </c>
      <c r="L261" s="5" t="s">
        <v>546</v>
      </c>
      <c r="M261" s="5" t="s">
        <v>77</v>
      </c>
      <c r="N261" s="5" t="s">
        <v>61</v>
      </c>
      <c r="O261" s="5">
        <v>1</v>
      </c>
      <c r="P261" s="7">
        <v>5371</v>
      </c>
      <c r="Q261" s="7">
        <v>0</v>
      </c>
      <c r="R261" s="17">
        <v>0.45</v>
      </c>
      <c r="S261">
        <f t="shared" si="20"/>
        <v>598</v>
      </c>
      <c r="T261">
        <f t="shared" si="21"/>
        <v>2416.9500000000003</v>
      </c>
      <c r="U261" t="str">
        <f t="shared" si="22"/>
        <v>No</v>
      </c>
      <c r="V261">
        <f t="shared" si="23"/>
        <v>0</v>
      </c>
      <c r="W261" t="str">
        <f t="shared" si="24"/>
        <v>No</v>
      </c>
    </row>
    <row r="262" spans="1:23" x14ac:dyDescent="0.3">
      <c r="A262" s="12" t="s">
        <v>543</v>
      </c>
      <c r="B262" s="12" t="s">
        <v>544</v>
      </c>
      <c r="C262" s="12" t="s">
        <v>43</v>
      </c>
      <c r="D262" s="12" t="s">
        <v>82</v>
      </c>
      <c r="E262" s="13">
        <v>45339</v>
      </c>
      <c r="F262" s="13">
        <v>45936</v>
      </c>
      <c r="G262" s="13">
        <v>45931</v>
      </c>
      <c r="H262" s="12" t="s">
        <v>99</v>
      </c>
      <c r="I262" s="12" t="s">
        <v>36</v>
      </c>
      <c r="J262" s="12" t="s">
        <v>88</v>
      </c>
      <c r="K262" s="12" t="s">
        <v>116</v>
      </c>
      <c r="L262" s="12" t="s">
        <v>547</v>
      </c>
      <c r="M262" s="12" t="s">
        <v>73</v>
      </c>
      <c r="N262" s="12" t="s">
        <v>39</v>
      </c>
      <c r="O262" s="12">
        <v>12</v>
      </c>
      <c r="P262" s="14">
        <v>2434</v>
      </c>
      <c r="Q262" s="14">
        <v>0</v>
      </c>
      <c r="R262" s="15">
        <v>0.3</v>
      </c>
      <c r="S262">
        <f t="shared" si="20"/>
        <v>597</v>
      </c>
      <c r="T262">
        <f t="shared" si="21"/>
        <v>730.19999999999993</v>
      </c>
      <c r="U262" t="str">
        <f t="shared" si="22"/>
        <v>No</v>
      </c>
      <c r="V262">
        <f t="shared" si="23"/>
        <v>0</v>
      </c>
      <c r="W262" t="str">
        <f t="shared" si="24"/>
        <v>No</v>
      </c>
    </row>
    <row r="263" spans="1:23" x14ac:dyDescent="0.3">
      <c r="A263" s="5" t="s">
        <v>548</v>
      </c>
      <c r="B263" s="5" t="s">
        <v>549</v>
      </c>
      <c r="C263" s="5" t="s">
        <v>59</v>
      </c>
      <c r="D263" s="5" t="s">
        <v>67</v>
      </c>
      <c r="E263" s="16">
        <v>45494</v>
      </c>
      <c r="F263" s="16">
        <v>45701</v>
      </c>
      <c r="G263" s="16">
        <v>45689</v>
      </c>
      <c r="H263" s="5" t="s">
        <v>86</v>
      </c>
      <c r="I263" s="5" t="s">
        <v>30</v>
      </c>
      <c r="J263" s="5" t="s">
        <v>88</v>
      </c>
      <c r="K263" s="5" t="s">
        <v>112</v>
      </c>
      <c r="L263" s="5" t="s">
        <v>550</v>
      </c>
      <c r="M263" s="5" t="s">
        <v>73</v>
      </c>
      <c r="N263" s="5" t="s">
        <v>39</v>
      </c>
      <c r="O263" s="5">
        <v>16</v>
      </c>
      <c r="P263" s="7">
        <v>7504</v>
      </c>
      <c r="Q263" s="7">
        <v>0</v>
      </c>
      <c r="R263" s="17">
        <v>0.28999999999999998</v>
      </c>
      <c r="S263">
        <f t="shared" si="20"/>
        <v>207</v>
      </c>
      <c r="T263">
        <f t="shared" si="21"/>
        <v>2176.16</v>
      </c>
      <c r="U263" t="str">
        <f t="shared" si="22"/>
        <v>No</v>
      </c>
      <c r="V263">
        <f t="shared" si="23"/>
        <v>0</v>
      </c>
      <c r="W263" t="str">
        <f t="shared" si="24"/>
        <v>No</v>
      </c>
    </row>
    <row r="264" spans="1:23" x14ac:dyDescent="0.3">
      <c r="A264" s="12" t="s">
        <v>548</v>
      </c>
      <c r="B264" s="12" t="s">
        <v>549</v>
      </c>
      <c r="C264" s="12" t="s">
        <v>59</v>
      </c>
      <c r="D264" s="12" t="s">
        <v>34</v>
      </c>
      <c r="E264" s="13">
        <v>45494</v>
      </c>
      <c r="F264" s="13">
        <v>45690</v>
      </c>
      <c r="G264" s="13">
        <v>45689</v>
      </c>
      <c r="H264" s="12" t="s">
        <v>86</v>
      </c>
      <c r="I264" s="12" t="s">
        <v>30</v>
      </c>
      <c r="J264" s="12" t="s">
        <v>90</v>
      </c>
      <c r="K264" s="12" t="s">
        <v>114</v>
      </c>
      <c r="L264" s="12" t="s">
        <v>551</v>
      </c>
      <c r="M264" s="12" t="s">
        <v>77</v>
      </c>
      <c r="N264" s="12" t="s">
        <v>61</v>
      </c>
      <c r="O264" s="12">
        <v>30</v>
      </c>
      <c r="P264" s="14">
        <v>7717</v>
      </c>
      <c r="Q264" s="14">
        <v>0</v>
      </c>
      <c r="R264" s="15">
        <v>0.48</v>
      </c>
      <c r="S264">
        <f t="shared" si="20"/>
        <v>196</v>
      </c>
      <c r="T264">
        <f t="shared" si="21"/>
        <v>3704.16</v>
      </c>
      <c r="U264" t="str">
        <f t="shared" si="22"/>
        <v>No</v>
      </c>
      <c r="V264">
        <f t="shared" si="23"/>
        <v>0</v>
      </c>
      <c r="W264" t="str">
        <f t="shared" si="24"/>
        <v>No</v>
      </c>
    </row>
    <row r="265" spans="1:23" x14ac:dyDescent="0.3">
      <c r="A265" s="5" t="s">
        <v>548</v>
      </c>
      <c r="B265" s="5" t="s">
        <v>549</v>
      </c>
      <c r="C265" s="5" t="s">
        <v>59</v>
      </c>
      <c r="D265" s="5" t="s">
        <v>84</v>
      </c>
      <c r="E265" s="16">
        <v>45494</v>
      </c>
      <c r="F265" s="16">
        <v>45647</v>
      </c>
      <c r="G265" s="16">
        <v>45627</v>
      </c>
      <c r="H265" s="5" t="s">
        <v>81</v>
      </c>
      <c r="I265" s="5" t="s">
        <v>30</v>
      </c>
      <c r="J265" s="5" t="s">
        <v>88</v>
      </c>
      <c r="K265" s="5" t="s">
        <v>116</v>
      </c>
      <c r="L265" s="5" t="s">
        <v>552</v>
      </c>
      <c r="M265" s="5" t="s">
        <v>73</v>
      </c>
      <c r="N265" s="5" t="s">
        <v>66</v>
      </c>
      <c r="O265" s="5">
        <v>18</v>
      </c>
      <c r="P265" s="7">
        <v>4651</v>
      </c>
      <c r="Q265" s="7">
        <v>0</v>
      </c>
      <c r="R265" s="17">
        <v>0.77</v>
      </c>
      <c r="S265">
        <f t="shared" si="20"/>
        <v>153</v>
      </c>
      <c r="T265">
        <f t="shared" si="21"/>
        <v>3581.27</v>
      </c>
      <c r="U265" t="str">
        <f t="shared" si="22"/>
        <v>No</v>
      </c>
      <c r="V265">
        <f t="shared" si="23"/>
        <v>0</v>
      </c>
      <c r="W265" t="str">
        <f t="shared" si="24"/>
        <v>No</v>
      </c>
    </row>
    <row r="266" spans="1:23" x14ac:dyDescent="0.3">
      <c r="A266" s="12" t="s">
        <v>553</v>
      </c>
      <c r="B266" s="12" t="s">
        <v>554</v>
      </c>
      <c r="C266" s="12" t="s">
        <v>31</v>
      </c>
      <c r="D266" s="12" t="s">
        <v>67</v>
      </c>
      <c r="E266" s="13">
        <v>45438</v>
      </c>
      <c r="F266" s="13">
        <v>45783</v>
      </c>
      <c r="G266" s="13">
        <v>45778</v>
      </c>
      <c r="H266" s="12" t="s">
        <v>93</v>
      </c>
      <c r="I266" s="12" t="s">
        <v>36</v>
      </c>
      <c r="J266" s="12" t="s">
        <v>90</v>
      </c>
      <c r="K266" s="12" t="s">
        <v>112</v>
      </c>
      <c r="L266" s="12" t="s">
        <v>555</v>
      </c>
      <c r="M266" s="12" t="s">
        <v>73</v>
      </c>
      <c r="N266" s="12" t="s">
        <v>51</v>
      </c>
      <c r="O266" s="12">
        <v>17</v>
      </c>
      <c r="P266" s="14">
        <v>5791</v>
      </c>
      <c r="Q266" s="14">
        <v>0</v>
      </c>
      <c r="R266" s="15">
        <v>0.75</v>
      </c>
      <c r="S266">
        <f t="shared" si="20"/>
        <v>345</v>
      </c>
      <c r="T266">
        <f t="shared" si="21"/>
        <v>4343.25</v>
      </c>
      <c r="U266" t="str">
        <f t="shared" si="22"/>
        <v>No</v>
      </c>
      <c r="V266">
        <f t="shared" si="23"/>
        <v>0</v>
      </c>
      <c r="W266" t="str">
        <f t="shared" si="24"/>
        <v>No</v>
      </c>
    </row>
    <row r="267" spans="1:23" x14ac:dyDescent="0.3">
      <c r="A267" s="5" t="s">
        <v>553</v>
      </c>
      <c r="B267" s="5" t="s">
        <v>554</v>
      </c>
      <c r="C267" s="5" t="s">
        <v>31</v>
      </c>
      <c r="D267" s="5" t="s">
        <v>84</v>
      </c>
      <c r="E267" s="16">
        <v>45438</v>
      </c>
      <c r="F267" s="16">
        <v>45856</v>
      </c>
      <c r="G267" s="16">
        <v>45839</v>
      </c>
      <c r="H267" s="5" t="s">
        <v>96</v>
      </c>
      <c r="I267" s="5" t="s">
        <v>36</v>
      </c>
      <c r="J267" s="5" t="s">
        <v>88</v>
      </c>
      <c r="K267" s="5" t="s">
        <v>114</v>
      </c>
      <c r="L267" s="5" t="s">
        <v>556</v>
      </c>
      <c r="M267" s="5" t="s">
        <v>73</v>
      </c>
      <c r="N267" s="5" t="s">
        <v>39</v>
      </c>
      <c r="O267" s="5">
        <v>4</v>
      </c>
      <c r="P267" s="7">
        <v>4133</v>
      </c>
      <c r="Q267" s="7">
        <v>0</v>
      </c>
      <c r="R267" s="17">
        <v>0.23</v>
      </c>
      <c r="S267">
        <f t="shared" si="20"/>
        <v>418</v>
      </c>
      <c r="T267">
        <f t="shared" si="21"/>
        <v>950.59</v>
      </c>
      <c r="U267" t="str">
        <f t="shared" si="22"/>
        <v>No</v>
      </c>
      <c r="V267">
        <f t="shared" si="23"/>
        <v>0</v>
      </c>
      <c r="W267" t="str">
        <f t="shared" si="24"/>
        <v>No</v>
      </c>
    </row>
    <row r="268" spans="1:23" x14ac:dyDescent="0.3">
      <c r="A268" s="12" t="s">
        <v>553</v>
      </c>
      <c r="B268" s="12" t="s">
        <v>554</v>
      </c>
      <c r="C268" s="12" t="s">
        <v>31</v>
      </c>
      <c r="D268" s="12" t="s">
        <v>84</v>
      </c>
      <c r="E268" s="13">
        <v>45438</v>
      </c>
      <c r="F268" s="13">
        <v>45471</v>
      </c>
      <c r="G268" s="13">
        <v>45444</v>
      </c>
      <c r="H268" s="12" t="s">
        <v>55</v>
      </c>
      <c r="I268" s="12" t="s">
        <v>36</v>
      </c>
      <c r="J268" s="12" t="s">
        <v>90</v>
      </c>
      <c r="K268" s="12" t="s">
        <v>116</v>
      </c>
      <c r="L268" s="12" t="s">
        <v>557</v>
      </c>
      <c r="M268" s="12" t="s">
        <v>30</v>
      </c>
      <c r="N268" s="12" t="s">
        <v>33</v>
      </c>
      <c r="O268" s="12">
        <v>34</v>
      </c>
      <c r="P268" s="14">
        <v>8716</v>
      </c>
      <c r="Q268" s="14">
        <v>8476</v>
      </c>
      <c r="R268" s="15">
        <v>1</v>
      </c>
      <c r="S268">
        <f t="shared" si="20"/>
        <v>33</v>
      </c>
      <c r="T268">
        <f t="shared" si="21"/>
        <v>8716</v>
      </c>
      <c r="U268" t="str">
        <f t="shared" si="22"/>
        <v>No</v>
      </c>
      <c r="V268">
        <f t="shared" si="23"/>
        <v>0</v>
      </c>
      <c r="W268" t="str">
        <f t="shared" si="24"/>
        <v>Yes</v>
      </c>
    </row>
    <row r="269" spans="1:23" x14ac:dyDescent="0.3">
      <c r="A269" s="5" t="s">
        <v>558</v>
      </c>
      <c r="B269" s="5" t="s">
        <v>559</v>
      </c>
      <c r="C269" s="5" t="s">
        <v>59</v>
      </c>
      <c r="D269" s="5" t="s">
        <v>40</v>
      </c>
      <c r="E269" s="16">
        <v>45602</v>
      </c>
      <c r="F269" s="16">
        <v>45487</v>
      </c>
      <c r="G269" s="16">
        <v>45474</v>
      </c>
      <c r="H269" s="5" t="s">
        <v>60</v>
      </c>
      <c r="I269" s="5" t="s">
        <v>30</v>
      </c>
      <c r="J269" s="5" t="s">
        <v>88</v>
      </c>
      <c r="K269" s="5" t="s">
        <v>112</v>
      </c>
      <c r="L269" s="5" t="s">
        <v>560</v>
      </c>
      <c r="M269" s="5" t="s">
        <v>30</v>
      </c>
      <c r="N269" s="5" t="s">
        <v>56</v>
      </c>
      <c r="O269" s="5">
        <v>21</v>
      </c>
      <c r="P269" s="7">
        <v>9174</v>
      </c>
      <c r="Q269" s="7">
        <v>9031</v>
      </c>
      <c r="R269" s="17">
        <v>1</v>
      </c>
      <c r="S269">
        <f t="shared" si="20"/>
        <v>-115</v>
      </c>
      <c r="T269">
        <f t="shared" si="21"/>
        <v>9174</v>
      </c>
      <c r="U269" t="str">
        <f t="shared" si="22"/>
        <v>No</v>
      </c>
      <c r="V269">
        <f t="shared" si="23"/>
        <v>0</v>
      </c>
      <c r="W269" t="str">
        <f t="shared" si="24"/>
        <v>Yes</v>
      </c>
    </row>
    <row r="270" spans="1:23" x14ac:dyDescent="0.3">
      <c r="A270" s="12" t="s">
        <v>558</v>
      </c>
      <c r="B270" s="12" t="s">
        <v>559</v>
      </c>
      <c r="C270" s="12" t="s">
        <v>59</v>
      </c>
      <c r="D270" s="12" t="s">
        <v>82</v>
      </c>
      <c r="E270" s="13">
        <v>45602</v>
      </c>
      <c r="F270" s="13">
        <v>45901</v>
      </c>
      <c r="G270" s="13">
        <v>45901</v>
      </c>
      <c r="H270" s="12" t="s">
        <v>98</v>
      </c>
      <c r="I270" s="12" t="s">
        <v>30</v>
      </c>
      <c r="J270" s="12" t="s">
        <v>92</v>
      </c>
      <c r="K270" s="12" t="s">
        <v>114</v>
      </c>
      <c r="L270" s="12" t="s">
        <v>561</v>
      </c>
      <c r="M270" s="12" t="s">
        <v>73</v>
      </c>
      <c r="N270" s="12" t="s">
        <v>39</v>
      </c>
      <c r="O270" s="12">
        <v>27</v>
      </c>
      <c r="P270" s="14">
        <v>9702</v>
      </c>
      <c r="Q270" s="14">
        <v>0</v>
      </c>
      <c r="R270" s="15">
        <v>0.08</v>
      </c>
      <c r="S270">
        <f t="shared" si="20"/>
        <v>299</v>
      </c>
      <c r="T270">
        <f t="shared" si="21"/>
        <v>776.16</v>
      </c>
      <c r="U270" t="str">
        <f t="shared" si="22"/>
        <v>No</v>
      </c>
      <c r="V270">
        <f t="shared" si="23"/>
        <v>0</v>
      </c>
      <c r="W270" t="str">
        <f t="shared" si="24"/>
        <v>No</v>
      </c>
    </row>
    <row r="271" spans="1:23" x14ac:dyDescent="0.3">
      <c r="A271" s="5" t="s">
        <v>558</v>
      </c>
      <c r="B271" s="5" t="s">
        <v>559</v>
      </c>
      <c r="C271" s="5" t="s">
        <v>59</v>
      </c>
      <c r="D271" s="5" t="s">
        <v>67</v>
      </c>
      <c r="E271" s="16">
        <v>45602</v>
      </c>
      <c r="F271" s="16">
        <v>45951</v>
      </c>
      <c r="G271" s="16">
        <v>45931</v>
      </c>
      <c r="H271" s="5" t="s">
        <v>99</v>
      </c>
      <c r="I271" s="5" t="s">
        <v>30</v>
      </c>
      <c r="J271" s="5" t="s">
        <v>88</v>
      </c>
      <c r="K271" s="5" t="s">
        <v>116</v>
      </c>
      <c r="L271" s="5" t="s">
        <v>562</v>
      </c>
      <c r="M271" s="5" t="s">
        <v>73</v>
      </c>
      <c r="N271" s="5" t="s">
        <v>61</v>
      </c>
      <c r="O271" s="5">
        <v>21</v>
      </c>
      <c r="P271" s="7">
        <v>8975</v>
      </c>
      <c r="Q271" s="7">
        <v>0</v>
      </c>
      <c r="R271" s="17">
        <v>0.96</v>
      </c>
      <c r="S271">
        <f t="shared" si="20"/>
        <v>349</v>
      </c>
      <c r="T271">
        <f t="shared" si="21"/>
        <v>8616</v>
      </c>
      <c r="U271" t="str">
        <f t="shared" si="22"/>
        <v>No</v>
      </c>
      <c r="V271">
        <f t="shared" si="23"/>
        <v>0</v>
      </c>
      <c r="W271" t="str">
        <f t="shared" si="24"/>
        <v>No</v>
      </c>
    </row>
    <row r="272" spans="1:23" x14ac:dyDescent="0.3">
      <c r="A272" s="12" t="s">
        <v>563</v>
      </c>
      <c r="B272" s="12" t="s">
        <v>564</v>
      </c>
      <c r="C272" s="12" t="s">
        <v>31</v>
      </c>
      <c r="D272" s="12" t="s">
        <v>40</v>
      </c>
      <c r="E272" s="13">
        <v>45434</v>
      </c>
      <c r="F272" s="13">
        <v>45467</v>
      </c>
      <c r="G272" s="13">
        <v>45444</v>
      </c>
      <c r="H272" s="12" t="s">
        <v>55</v>
      </c>
      <c r="I272" s="12" t="s">
        <v>48</v>
      </c>
      <c r="J272" s="12" t="s">
        <v>88</v>
      </c>
      <c r="K272" s="12" t="s">
        <v>112</v>
      </c>
      <c r="L272" s="12" t="s">
        <v>565</v>
      </c>
      <c r="M272" s="12" t="s">
        <v>30</v>
      </c>
      <c r="N272" s="12" t="s">
        <v>61</v>
      </c>
      <c r="O272" s="12">
        <v>23</v>
      </c>
      <c r="P272" s="14">
        <v>7491</v>
      </c>
      <c r="Q272" s="14">
        <v>7138</v>
      </c>
      <c r="R272" s="15">
        <v>1</v>
      </c>
      <c r="S272">
        <f t="shared" si="20"/>
        <v>33</v>
      </c>
      <c r="T272">
        <f t="shared" si="21"/>
        <v>7491</v>
      </c>
      <c r="U272" t="str">
        <f t="shared" si="22"/>
        <v>No</v>
      </c>
      <c r="V272">
        <f t="shared" si="23"/>
        <v>0</v>
      </c>
      <c r="W272" t="str">
        <f t="shared" si="24"/>
        <v>Yes</v>
      </c>
    </row>
    <row r="273" spans="1:23" x14ac:dyDescent="0.3">
      <c r="A273" s="5" t="s">
        <v>563</v>
      </c>
      <c r="B273" s="5" t="s">
        <v>564</v>
      </c>
      <c r="C273" s="5" t="s">
        <v>31</v>
      </c>
      <c r="D273" s="5" t="s">
        <v>40</v>
      </c>
      <c r="E273" s="16">
        <v>45434</v>
      </c>
      <c r="F273" s="16">
        <v>45729</v>
      </c>
      <c r="G273" s="16">
        <v>45717</v>
      </c>
      <c r="H273" s="5" t="s">
        <v>89</v>
      </c>
      <c r="I273" s="5" t="s">
        <v>48</v>
      </c>
      <c r="J273" s="5" t="s">
        <v>90</v>
      </c>
      <c r="K273" s="5" t="s">
        <v>114</v>
      </c>
      <c r="L273" s="5" t="s">
        <v>566</v>
      </c>
      <c r="M273" s="5" t="s">
        <v>77</v>
      </c>
      <c r="N273" s="5" t="s">
        <v>45</v>
      </c>
      <c r="O273" s="5">
        <v>22</v>
      </c>
      <c r="P273" s="7">
        <v>4013</v>
      </c>
      <c r="Q273" s="7">
        <v>0</v>
      </c>
      <c r="R273" s="17">
        <v>0.92</v>
      </c>
      <c r="S273">
        <f t="shared" si="20"/>
        <v>295</v>
      </c>
      <c r="T273">
        <f t="shared" si="21"/>
        <v>3691.96</v>
      </c>
      <c r="U273" t="str">
        <f t="shared" si="22"/>
        <v>No</v>
      </c>
      <c r="V273">
        <f t="shared" si="23"/>
        <v>0</v>
      </c>
      <c r="W273" t="str">
        <f t="shared" si="24"/>
        <v>No</v>
      </c>
    </row>
    <row r="274" spans="1:23" x14ac:dyDescent="0.3">
      <c r="A274" s="12" t="s">
        <v>563</v>
      </c>
      <c r="B274" s="12" t="s">
        <v>564</v>
      </c>
      <c r="C274" s="12" t="s">
        <v>31</v>
      </c>
      <c r="D274" s="12" t="s">
        <v>71</v>
      </c>
      <c r="E274" s="13">
        <v>45434</v>
      </c>
      <c r="F274" s="13">
        <v>45737</v>
      </c>
      <c r="G274" s="13">
        <v>45717</v>
      </c>
      <c r="H274" s="12" t="s">
        <v>89</v>
      </c>
      <c r="I274" s="12" t="s">
        <v>48</v>
      </c>
      <c r="J274" s="12" t="s">
        <v>92</v>
      </c>
      <c r="K274" s="12" t="s">
        <v>116</v>
      </c>
      <c r="L274" s="12" t="s">
        <v>567</v>
      </c>
      <c r="M274" s="12" t="s">
        <v>77</v>
      </c>
      <c r="N274" s="12" t="s">
        <v>45</v>
      </c>
      <c r="O274" s="12">
        <v>33</v>
      </c>
      <c r="P274" s="14">
        <v>1670</v>
      </c>
      <c r="Q274" s="14">
        <v>0</v>
      </c>
      <c r="R274" s="15">
        <v>0.64</v>
      </c>
      <c r="S274">
        <f t="shared" si="20"/>
        <v>303</v>
      </c>
      <c r="T274">
        <f t="shared" si="21"/>
        <v>1068.8</v>
      </c>
      <c r="U274" t="str">
        <f t="shared" si="22"/>
        <v>No</v>
      </c>
      <c r="V274">
        <f t="shared" si="23"/>
        <v>0</v>
      </c>
      <c r="W274" t="str">
        <f t="shared" si="24"/>
        <v>No</v>
      </c>
    </row>
    <row r="275" spans="1:23" x14ac:dyDescent="0.3">
      <c r="A275" s="5" t="s">
        <v>568</v>
      </c>
      <c r="B275" s="5" t="s">
        <v>569</v>
      </c>
      <c r="C275" s="5" t="s">
        <v>37</v>
      </c>
      <c r="D275" s="5" t="s">
        <v>79</v>
      </c>
      <c r="E275" s="16">
        <v>45354</v>
      </c>
      <c r="F275" s="16">
        <v>45622</v>
      </c>
      <c r="G275" s="16">
        <v>45597</v>
      </c>
      <c r="H275" s="5" t="s">
        <v>78</v>
      </c>
      <c r="I275" s="5" t="s">
        <v>30</v>
      </c>
      <c r="J275" s="5" t="s">
        <v>90</v>
      </c>
      <c r="K275" s="5" t="s">
        <v>112</v>
      </c>
      <c r="L275" s="5" t="s">
        <v>570</v>
      </c>
      <c r="M275" s="5" t="s">
        <v>77</v>
      </c>
      <c r="N275" s="5" t="s">
        <v>45</v>
      </c>
      <c r="O275" s="5">
        <v>22</v>
      </c>
      <c r="P275" s="7">
        <v>6004</v>
      </c>
      <c r="Q275" s="7">
        <v>0</v>
      </c>
      <c r="R275" s="17">
        <v>0.04</v>
      </c>
      <c r="S275">
        <f t="shared" si="20"/>
        <v>268</v>
      </c>
      <c r="T275">
        <f t="shared" si="21"/>
        <v>240.16</v>
      </c>
      <c r="U275" t="str">
        <f t="shared" si="22"/>
        <v>No</v>
      </c>
      <c r="V275">
        <f t="shared" si="23"/>
        <v>0</v>
      </c>
      <c r="W275" t="str">
        <f t="shared" si="24"/>
        <v>No</v>
      </c>
    </row>
    <row r="276" spans="1:23" x14ac:dyDescent="0.3">
      <c r="A276" s="12" t="s">
        <v>568</v>
      </c>
      <c r="B276" s="12" t="s">
        <v>569</v>
      </c>
      <c r="C276" s="12" t="s">
        <v>37</v>
      </c>
      <c r="D276" s="12" t="s">
        <v>52</v>
      </c>
      <c r="E276" s="13">
        <v>45354</v>
      </c>
      <c r="F276" s="13">
        <v>45560</v>
      </c>
      <c r="G276" s="13">
        <v>45536</v>
      </c>
      <c r="H276" s="12" t="s">
        <v>69</v>
      </c>
      <c r="I276" s="12" t="s">
        <v>30</v>
      </c>
      <c r="J276" s="12" t="s">
        <v>90</v>
      </c>
      <c r="K276" s="12" t="s">
        <v>114</v>
      </c>
      <c r="L276" s="12" t="s">
        <v>571</v>
      </c>
      <c r="M276" s="12" t="s">
        <v>30</v>
      </c>
      <c r="N276" s="12" t="s">
        <v>33</v>
      </c>
      <c r="O276" s="12">
        <v>13</v>
      </c>
      <c r="P276" s="14">
        <v>9649</v>
      </c>
      <c r="Q276" s="14">
        <v>9485</v>
      </c>
      <c r="R276" s="15">
        <v>1</v>
      </c>
      <c r="S276">
        <f t="shared" si="20"/>
        <v>206</v>
      </c>
      <c r="T276">
        <f t="shared" si="21"/>
        <v>9649</v>
      </c>
      <c r="U276" t="str">
        <f t="shared" si="22"/>
        <v>No</v>
      </c>
      <c r="V276">
        <f t="shared" si="23"/>
        <v>0</v>
      </c>
      <c r="W276" t="str">
        <f t="shared" si="24"/>
        <v>Yes</v>
      </c>
    </row>
    <row r="277" spans="1:23" x14ac:dyDescent="0.3">
      <c r="A277" s="5" t="s">
        <v>568</v>
      </c>
      <c r="B277" s="5" t="s">
        <v>569</v>
      </c>
      <c r="C277" s="5" t="s">
        <v>37</v>
      </c>
      <c r="D277" s="5" t="s">
        <v>67</v>
      </c>
      <c r="E277" s="16">
        <v>45354</v>
      </c>
      <c r="F277" s="16">
        <v>45560</v>
      </c>
      <c r="G277" s="16">
        <v>45536</v>
      </c>
      <c r="H277" s="5" t="s">
        <v>69</v>
      </c>
      <c r="I277" s="5" t="s">
        <v>30</v>
      </c>
      <c r="J277" s="5" t="s">
        <v>88</v>
      </c>
      <c r="K277" s="5" t="s">
        <v>116</v>
      </c>
      <c r="L277" s="5" t="s">
        <v>572</v>
      </c>
      <c r="M277" s="5" t="s">
        <v>30</v>
      </c>
      <c r="N277" s="5" t="s">
        <v>66</v>
      </c>
      <c r="O277" s="5">
        <v>11</v>
      </c>
      <c r="P277" s="7">
        <v>5921</v>
      </c>
      <c r="Q277" s="7">
        <v>5788</v>
      </c>
      <c r="R277" s="17">
        <v>1</v>
      </c>
      <c r="S277">
        <f t="shared" si="20"/>
        <v>206</v>
      </c>
      <c r="T277">
        <f t="shared" si="21"/>
        <v>5921</v>
      </c>
      <c r="U277" t="str">
        <f t="shared" si="22"/>
        <v>No</v>
      </c>
      <c r="V277">
        <f t="shared" si="23"/>
        <v>0</v>
      </c>
      <c r="W277" t="str">
        <f t="shared" si="24"/>
        <v>Yes</v>
      </c>
    </row>
    <row r="278" spans="1:23" x14ac:dyDescent="0.3">
      <c r="A278" s="12" t="s">
        <v>573</v>
      </c>
      <c r="B278" s="12" t="s">
        <v>574</v>
      </c>
      <c r="C278" s="12" t="s">
        <v>43</v>
      </c>
      <c r="D278" s="12" t="s">
        <v>34</v>
      </c>
      <c r="E278" s="13">
        <v>45523</v>
      </c>
      <c r="F278" s="13">
        <v>45556</v>
      </c>
      <c r="G278" s="13">
        <v>45536</v>
      </c>
      <c r="H278" s="12" t="s">
        <v>69</v>
      </c>
      <c r="I278" s="12" t="s">
        <v>30</v>
      </c>
      <c r="J278" s="12" t="s">
        <v>92</v>
      </c>
      <c r="K278" s="12" t="s">
        <v>112</v>
      </c>
      <c r="L278" s="12" t="s">
        <v>575</v>
      </c>
      <c r="M278" s="12" t="s">
        <v>30</v>
      </c>
      <c r="N278" s="12" t="s">
        <v>39</v>
      </c>
      <c r="O278" s="12">
        <v>40</v>
      </c>
      <c r="P278" s="14">
        <v>4306</v>
      </c>
      <c r="Q278" s="14">
        <v>3888</v>
      </c>
      <c r="R278" s="15">
        <v>1</v>
      </c>
      <c r="S278">
        <f t="shared" si="20"/>
        <v>33</v>
      </c>
      <c r="T278">
        <f t="shared" si="21"/>
        <v>4306</v>
      </c>
      <c r="U278" t="str">
        <f t="shared" si="22"/>
        <v>No</v>
      </c>
      <c r="V278">
        <f t="shared" si="23"/>
        <v>0</v>
      </c>
      <c r="W278" t="str">
        <f t="shared" si="24"/>
        <v>Yes</v>
      </c>
    </row>
    <row r="279" spans="1:23" x14ac:dyDescent="0.3">
      <c r="A279" s="5" t="s">
        <v>573</v>
      </c>
      <c r="B279" s="5" t="s">
        <v>574</v>
      </c>
      <c r="C279" s="5" t="s">
        <v>43</v>
      </c>
      <c r="D279" s="5" t="s">
        <v>52</v>
      </c>
      <c r="E279" s="16">
        <v>45523</v>
      </c>
      <c r="F279" s="16">
        <v>45766</v>
      </c>
      <c r="G279" s="16">
        <v>45748</v>
      </c>
      <c r="H279" s="5" t="s">
        <v>91</v>
      </c>
      <c r="I279" s="5" t="s">
        <v>30</v>
      </c>
      <c r="J279" s="5" t="s">
        <v>92</v>
      </c>
      <c r="K279" s="5" t="s">
        <v>114</v>
      </c>
      <c r="L279" s="5" t="s">
        <v>576</v>
      </c>
      <c r="M279" s="5" t="s">
        <v>73</v>
      </c>
      <c r="N279" s="5" t="s">
        <v>51</v>
      </c>
      <c r="O279" s="5">
        <v>31</v>
      </c>
      <c r="P279" s="7">
        <v>8367</v>
      </c>
      <c r="Q279" s="7">
        <v>0</v>
      </c>
      <c r="R279" s="17">
        <v>0.75</v>
      </c>
      <c r="S279">
        <f t="shared" si="20"/>
        <v>243</v>
      </c>
      <c r="T279">
        <f t="shared" si="21"/>
        <v>6275.25</v>
      </c>
      <c r="U279" t="str">
        <f t="shared" si="22"/>
        <v>No</v>
      </c>
      <c r="V279">
        <f t="shared" si="23"/>
        <v>0</v>
      </c>
      <c r="W279" t="str">
        <f t="shared" si="24"/>
        <v>No</v>
      </c>
    </row>
    <row r="280" spans="1:23" x14ac:dyDescent="0.3">
      <c r="A280" s="12" t="s">
        <v>573</v>
      </c>
      <c r="B280" s="12" t="s">
        <v>574</v>
      </c>
      <c r="C280" s="12" t="s">
        <v>43</v>
      </c>
      <c r="D280" s="12" t="s">
        <v>67</v>
      </c>
      <c r="E280" s="13">
        <v>45523</v>
      </c>
      <c r="F280" s="13">
        <v>45556</v>
      </c>
      <c r="G280" s="13">
        <v>45536</v>
      </c>
      <c r="H280" s="12" t="s">
        <v>69</v>
      </c>
      <c r="I280" s="12" t="s">
        <v>30</v>
      </c>
      <c r="J280" s="12" t="s">
        <v>92</v>
      </c>
      <c r="K280" s="12" t="s">
        <v>116</v>
      </c>
      <c r="L280" s="12" t="s">
        <v>577</v>
      </c>
      <c r="M280" s="12" t="s">
        <v>30</v>
      </c>
      <c r="N280" s="12" t="s">
        <v>33</v>
      </c>
      <c r="O280" s="12">
        <v>0</v>
      </c>
      <c r="P280" s="14">
        <v>4178</v>
      </c>
      <c r="Q280" s="14">
        <v>4148</v>
      </c>
      <c r="R280" s="15">
        <v>1</v>
      </c>
      <c r="S280">
        <f t="shared" si="20"/>
        <v>33</v>
      </c>
      <c r="T280">
        <f t="shared" si="21"/>
        <v>4178</v>
      </c>
      <c r="U280" t="str">
        <f t="shared" si="22"/>
        <v>No</v>
      </c>
      <c r="V280">
        <f t="shared" si="23"/>
        <v>0</v>
      </c>
      <c r="W280" t="str">
        <f t="shared" si="24"/>
        <v>Yes</v>
      </c>
    </row>
    <row r="281" spans="1:23" x14ac:dyDescent="0.3">
      <c r="A281" s="5" t="s">
        <v>578</v>
      </c>
      <c r="B281" s="5" t="s">
        <v>579</v>
      </c>
      <c r="C281" s="5" t="s">
        <v>49</v>
      </c>
      <c r="D281" s="5" t="s">
        <v>82</v>
      </c>
      <c r="E281" s="16">
        <v>45471</v>
      </c>
      <c r="F281" s="16">
        <v>45571</v>
      </c>
      <c r="G281" s="16">
        <v>45566</v>
      </c>
      <c r="H281" s="5" t="s">
        <v>74</v>
      </c>
      <c r="I281" s="5" t="s">
        <v>42</v>
      </c>
      <c r="J281" s="5" t="s">
        <v>88</v>
      </c>
      <c r="K281" s="5" t="s">
        <v>112</v>
      </c>
      <c r="L281" s="5" t="s">
        <v>580</v>
      </c>
      <c r="M281" s="5" t="s">
        <v>73</v>
      </c>
      <c r="N281" s="5" t="s">
        <v>51</v>
      </c>
      <c r="O281" s="5">
        <v>13</v>
      </c>
      <c r="P281" s="7">
        <v>1773</v>
      </c>
      <c r="Q281" s="7">
        <v>0</v>
      </c>
      <c r="R281" s="17">
        <v>0.44</v>
      </c>
      <c r="S281">
        <f t="shared" si="20"/>
        <v>100</v>
      </c>
      <c r="T281">
        <f t="shared" si="21"/>
        <v>780.12</v>
      </c>
      <c r="U281" t="str">
        <f t="shared" si="22"/>
        <v>No</v>
      </c>
      <c r="V281">
        <f t="shared" si="23"/>
        <v>0</v>
      </c>
      <c r="W281" t="str">
        <f t="shared" si="24"/>
        <v>No</v>
      </c>
    </row>
    <row r="282" spans="1:23" x14ac:dyDescent="0.3">
      <c r="A282" s="12" t="s">
        <v>578</v>
      </c>
      <c r="B282" s="12" t="s">
        <v>579</v>
      </c>
      <c r="C282" s="12" t="s">
        <v>49</v>
      </c>
      <c r="D282" s="12" t="s">
        <v>52</v>
      </c>
      <c r="E282" s="13">
        <v>45471</v>
      </c>
      <c r="F282" s="13">
        <v>45564</v>
      </c>
      <c r="G282" s="13">
        <v>45536</v>
      </c>
      <c r="H282" s="12" t="s">
        <v>69</v>
      </c>
      <c r="I282" s="12" t="s">
        <v>42</v>
      </c>
      <c r="J282" s="12" t="s">
        <v>88</v>
      </c>
      <c r="K282" s="12" t="s">
        <v>114</v>
      </c>
      <c r="L282" s="12" t="s">
        <v>581</v>
      </c>
      <c r="M282" s="12" t="s">
        <v>73</v>
      </c>
      <c r="N282" s="12" t="s">
        <v>56</v>
      </c>
      <c r="O282" s="12">
        <v>20</v>
      </c>
      <c r="P282" s="14">
        <v>7829</v>
      </c>
      <c r="Q282" s="14">
        <v>0</v>
      </c>
      <c r="R282" s="15">
        <v>0.42</v>
      </c>
      <c r="S282">
        <f t="shared" si="20"/>
        <v>93</v>
      </c>
      <c r="T282">
        <f t="shared" si="21"/>
        <v>3288.18</v>
      </c>
      <c r="U282" t="str">
        <f t="shared" si="22"/>
        <v>No</v>
      </c>
      <c r="V282">
        <f t="shared" si="23"/>
        <v>0</v>
      </c>
      <c r="W282" t="str">
        <f t="shared" si="24"/>
        <v>No</v>
      </c>
    </row>
    <row r="283" spans="1:23" x14ac:dyDescent="0.3">
      <c r="A283" s="5" t="s">
        <v>578</v>
      </c>
      <c r="B283" s="5" t="s">
        <v>579</v>
      </c>
      <c r="C283" s="5" t="s">
        <v>49</v>
      </c>
      <c r="D283" s="5" t="s">
        <v>34</v>
      </c>
      <c r="E283" s="16">
        <v>45471</v>
      </c>
      <c r="F283" s="16">
        <v>45558</v>
      </c>
      <c r="G283" s="16">
        <v>45536</v>
      </c>
      <c r="H283" s="5" t="s">
        <v>69</v>
      </c>
      <c r="I283" s="5" t="s">
        <v>42</v>
      </c>
      <c r="J283" s="5" t="s">
        <v>90</v>
      </c>
      <c r="K283" s="5" t="s">
        <v>116</v>
      </c>
      <c r="L283" s="5" t="s">
        <v>582</v>
      </c>
      <c r="M283" s="5" t="s">
        <v>73</v>
      </c>
      <c r="N283" s="5" t="s">
        <v>33</v>
      </c>
      <c r="O283" s="5">
        <v>39</v>
      </c>
      <c r="P283" s="7">
        <v>1447</v>
      </c>
      <c r="Q283" s="7">
        <v>3357</v>
      </c>
      <c r="R283" s="17">
        <v>0.37</v>
      </c>
      <c r="S283">
        <f t="shared" si="20"/>
        <v>87</v>
      </c>
      <c r="T283">
        <f t="shared" si="21"/>
        <v>535.39</v>
      </c>
      <c r="U283" t="str">
        <f t="shared" si="22"/>
        <v>Yes</v>
      </c>
      <c r="V283">
        <f t="shared" si="23"/>
        <v>1910</v>
      </c>
      <c r="W283" t="str">
        <f t="shared" si="24"/>
        <v>Yes</v>
      </c>
    </row>
    <row r="284" spans="1:23" x14ac:dyDescent="0.3">
      <c r="A284" s="12" t="s">
        <v>583</v>
      </c>
      <c r="B284" s="12" t="s">
        <v>584</v>
      </c>
      <c r="C284" s="12" t="s">
        <v>54</v>
      </c>
      <c r="D284" s="12" t="s">
        <v>62</v>
      </c>
      <c r="E284" s="13">
        <v>45339</v>
      </c>
      <c r="F284" s="13">
        <v>45506</v>
      </c>
      <c r="G284" s="13">
        <v>45505</v>
      </c>
      <c r="H284" s="12" t="s">
        <v>65</v>
      </c>
      <c r="I284" s="12" t="s">
        <v>42</v>
      </c>
      <c r="J284" s="12" t="s">
        <v>90</v>
      </c>
      <c r="K284" s="12" t="s">
        <v>112</v>
      </c>
      <c r="L284" s="12" t="s">
        <v>585</v>
      </c>
      <c r="M284" s="12" t="s">
        <v>77</v>
      </c>
      <c r="N284" s="12" t="s">
        <v>45</v>
      </c>
      <c r="O284" s="12">
        <v>24</v>
      </c>
      <c r="P284" s="14">
        <v>8329</v>
      </c>
      <c r="Q284" s="14">
        <v>0</v>
      </c>
      <c r="R284" s="15">
        <v>0.81</v>
      </c>
      <c r="S284">
        <f t="shared" si="20"/>
        <v>167</v>
      </c>
      <c r="T284">
        <f t="shared" si="21"/>
        <v>6746.4900000000007</v>
      </c>
      <c r="U284" t="str">
        <f t="shared" si="22"/>
        <v>No</v>
      </c>
      <c r="V284">
        <f t="shared" si="23"/>
        <v>0</v>
      </c>
      <c r="W284" t="str">
        <f t="shared" si="24"/>
        <v>No</v>
      </c>
    </row>
    <row r="285" spans="1:23" x14ac:dyDescent="0.3">
      <c r="A285" s="5" t="s">
        <v>583</v>
      </c>
      <c r="B285" s="5" t="s">
        <v>584</v>
      </c>
      <c r="C285" s="5" t="s">
        <v>54</v>
      </c>
      <c r="D285" s="5" t="s">
        <v>52</v>
      </c>
      <c r="E285" s="16">
        <v>45339</v>
      </c>
      <c r="F285" s="16">
        <v>45472</v>
      </c>
      <c r="G285" s="16">
        <v>45444</v>
      </c>
      <c r="H285" s="5" t="s">
        <v>55</v>
      </c>
      <c r="I285" s="5" t="s">
        <v>42</v>
      </c>
      <c r="J285" s="5" t="s">
        <v>92</v>
      </c>
      <c r="K285" s="5" t="s">
        <v>114</v>
      </c>
      <c r="L285" s="5" t="s">
        <v>586</v>
      </c>
      <c r="M285" s="5" t="s">
        <v>73</v>
      </c>
      <c r="N285" s="5" t="s">
        <v>51</v>
      </c>
      <c r="O285" s="5">
        <v>34</v>
      </c>
      <c r="P285" s="7">
        <v>6160</v>
      </c>
      <c r="Q285" s="7">
        <v>0</v>
      </c>
      <c r="R285" s="17">
        <v>0.97</v>
      </c>
      <c r="S285">
        <f t="shared" si="20"/>
        <v>133</v>
      </c>
      <c r="T285">
        <f t="shared" si="21"/>
        <v>5975.2</v>
      </c>
      <c r="U285" t="str">
        <f t="shared" si="22"/>
        <v>No</v>
      </c>
      <c r="V285">
        <f t="shared" si="23"/>
        <v>0</v>
      </c>
      <c r="W285" t="str">
        <f t="shared" si="24"/>
        <v>No</v>
      </c>
    </row>
    <row r="286" spans="1:23" x14ac:dyDescent="0.3">
      <c r="A286" s="12" t="s">
        <v>583</v>
      </c>
      <c r="B286" s="12" t="s">
        <v>584</v>
      </c>
      <c r="C286" s="12" t="s">
        <v>54</v>
      </c>
      <c r="D286" s="12" t="s">
        <v>75</v>
      </c>
      <c r="E286" s="13">
        <v>45339</v>
      </c>
      <c r="F286" s="13">
        <v>45500</v>
      </c>
      <c r="G286" s="13">
        <v>45474</v>
      </c>
      <c r="H286" s="12" t="s">
        <v>60</v>
      </c>
      <c r="I286" s="12" t="s">
        <v>42</v>
      </c>
      <c r="J286" s="12" t="s">
        <v>88</v>
      </c>
      <c r="K286" s="12" t="s">
        <v>116</v>
      </c>
      <c r="L286" s="12" t="s">
        <v>587</v>
      </c>
      <c r="M286" s="12" t="s">
        <v>73</v>
      </c>
      <c r="N286" s="12" t="s">
        <v>33</v>
      </c>
      <c r="O286" s="12">
        <v>7</v>
      </c>
      <c r="P286" s="14">
        <v>6083</v>
      </c>
      <c r="Q286" s="14">
        <v>0</v>
      </c>
      <c r="R286" s="15">
        <v>0.57999999999999996</v>
      </c>
      <c r="S286">
        <f t="shared" si="20"/>
        <v>161</v>
      </c>
      <c r="T286">
        <f t="shared" si="21"/>
        <v>3528.14</v>
      </c>
      <c r="U286" t="str">
        <f t="shared" si="22"/>
        <v>No</v>
      </c>
      <c r="V286">
        <f t="shared" si="23"/>
        <v>0</v>
      </c>
      <c r="W286" t="str">
        <f t="shared" si="24"/>
        <v>No</v>
      </c>
    </row>
    <row r="287" spans="1:23" x14ac:dyDescent="0.3">
      <c r="A287" s="5" t="s">
        <v>588</v>
      </c>
      <c r="B287" s="5" t="s">
        <v>589</v>
      </c>
      <c r="C287" s="5" t="s">
        <v>31</v>
      </c>
      <c r="D287" s="5" t="s">
        <v>67</v>
      </c>
      <c r="E287" s="16">
        <v>45354</v>
      </c>
      <c r="F287" s="16">
        <v>45783</v>
      </c>
      <c r="G287" s="16">
        <v>45778</v>
      </c>
      <c r="H287" s="5" t="s">
        <v>93</v>
      </c>
      <c r="I287" s="5" t="s">
        <v>36</v>
      </c>
      <c r="J287" s="5" t="s">
        <v>92</v>
      </c>
      <c r="K287" s="5" t="s">
        <v>112</v>
      </c>
      <c r="L287" s="5" t="s">
        <v>590</v>
      </c>
      <c r="M287" s="5" t="s">
        <v>77</v>
      </c>
      <c r="N287" s="5" t="s">
        <v>39</v>
      </c>
      <c r="O287" s="5">
        <v>17</v>
      </c>
      <c r="P287" s="7">
        <v>1235</v>
      </c>
      <c r="Q287" s="7">
        <v>0</v>
      </c>
      <c r="R287" s="17">
        <v>0.69</v>
      </c>
      <c r="S287">
        <f t="shared" si="20"/>
        <v>429</v>
      </c>
      <c r="T287">
        <f t="shared" si="21"/>
        <v>852.15</v>
      </c>
      <c r="U287" t="str">
        <f t="shared" si="22"/>
        <v>No</v>
      </c>
      <c r="V287">
        <f t="shared" si="23"/>
        <v>0</v>
      </c>
      <c r="W287" t="str">
        <f t="shared" si="24"/>
        <v>No</v>
      </c>
    </row>
    <row r="288" spans="1:23" x14ac:dyDescent="0.3">
      <c r="A288" s="12" t="s">
        <v>588</v>
      </c>
      <c r="B288" s="12" t="s">
        <v>589</v>
      </c>
      <c r="C288" s="12" t="s">
        <v>31</v>
      </c>
      <c r="D288" s="12" t="s">
        <v>52</v>
      </c>
      <c r="E288" s="13">
        <v>45354</v>
      </c>
      <c r="F288" s="13">
        <v>45662</v>
      </c>
      <c r="G288" s="13">
        <v>45658</v>
      </c>
      <c r="H288" s="12" t="s">
        <v>83</v>
      </c>
      <c r="I288" s="12" t="s">
        <v>36</v>
      </c>
      <c r="J288" s="12" t="s">
        <v>90</v>
      </c>
      <c r="K288" s="12" t="s">
        <v>114</v>
      </c>
      <c r="L288" s="12" t="s">
        <v>591</v>
      </c>
      <c r="M288" s="12" t="s">
        <v>73</v>
      </c>
      <c r="N288" s="12" t="s">
        <v>70</v>
      </c>
      <c r="O288" s="12">
        <v>20</v>
      </c>
      <c r="P288" s="14">
        <v>2984</v>
      </c>
      <c r="Q288" s="14">
        <v>6060</v>
      </c>
      <c r="R288" s="15">
        <v>0.08</v>
      </c>
      <c r="S288">
        <f t="shared" si="20"/>
        <v>308</v>
      </c>
      <c r="T288">
        <f t="shared" si="21"/>
        <v>238.72</v>
      </c>
      <c r="U288" t="str">
        <f t="shared" si="22"/>
        <v>Yes</v>
      </c>
      <c r="V288">
        <f t="shared" si="23"/>
        <v>3076</v>
      </c>
      <c r="W288" t="str">
        <f t="shared" si="24"/>
        <v>Yes</v>
      </c>
    </row>
    <row r="289" spans="1:23" x14ac:dyDescent="0.3">
      <c r="A289" s="5" t="s">
        <v>588</v>
      </c>
      <c r="B289" s="5" t="s">
        <v>589</v>
      </c>
      <c r="C289" s="5" t="s">
        <v>31</v>
      </c>
      <c r="D289" s="5" t="s">
        <v>62</v>
      </c>
      <c r="E289" s="16">
        <v>45354</v>
      </c>
      <c r="F289" s="16">
        <v>45725</v>
      </c>
      <c r="G289" s="16">
        <v>45717</v>
      </c>
      <c r="H289" s="5" t="s">
        <v>89</v>
      </c>
      <c r="I289" s="5" t="s">
        <v>36</v>
      </c>
      <c r="J289" s="5" t="s">
        <v>88</v>
      </c>
      <c r="K289" s="5" t="s">
        <v>116</v>
      </c>
      <c r="L289" s="5" t="s">
        <v>592</v>
      </c>
      <c r="M289" s="5" t="s">
        <v>77</v>
      </c>
      <c r="N289" s="5" t="s">
        <v>56</v>
      </c>
      <c r="O289" s="5">
        <v>32</v>
      </c>
      <c r="P289" s="7">
        <v>5211</v>
      </c>
      <c r="Q289" s="7">
        <v>0</v>
      </c>
      <c r="R289" s="17">
        <v>0.92</v>
      </c>
      <c r="S289">
        <f t="shared" si="20"/>
        <v>371</v>
      </c>
      <c r="T289">
        <f t="shared" si="21"/>
        <v>4794.12</v>
      </c>
      <c r="U289" t="str">
        <f t="shared" si="22"/>
        <v>No</v>
      </c>
      <c r="V289">
        <f t="shared" si="23"/>
        <v>0</v>
      </c>
      <c r="W289" t="str">
        <f t="shared" si="24"/>
        <v>No</v>
      </c>
    </row>
    <row r="290" spans="1:23" x14ac:dyDescent="0.3">
      <c r="A290" s="12" t="s">
        <v>593</v>
      </c>
      <c r="B290" s="12" t="s">
        <v>594</v>
      </c>
      <c r="C290" s="12" t="s">
        <v>59</v>
      </c>
      <c r="D290" s="12" t="s">
        <v>84</v>
      </c>
      <c r="E290" s="13">
        <v>45510</v>
      </c>
      <c r="F290" s="13">
        <v>45634</v>
      </c>
      <c r="G290" s="13">
        <v>45627</v>
      </c>
      <c r="H290" s="12" t="s">
        <v>81</v>
      </c>
      <c r="I290" s="12" t="s">
        <v>42</v>
      </c>
      <c r="J290" s="12" t="s">
        <v>88</v>
      </c>
      <c r="K290" s="12" t="s">
        <v>112</v>
      </c>
      <c r="L290" s="12" t="s">
        <v>595</v>
      </c>
      <c r="M290" s="12" t="s">
        <v>77</v>
      </c>
      <c r="N290" s="12" t="s">
        <v>56</v>
      </c>
      <c r="O290" s="12">
        <v>9</v>
      </c>
      <c r="P290" s="14">
        <v>6292</v>
      </c>
      <c r="Q290" s="14">
        <v>0</v>
      </c>
      <c r="R290" s="15">
        <v>0.5</v>
      </c>
      <c r="S290">
        <f t="shared" si="20"/>
        <v>124</v>
      </c>
      <c r="T290">
        <f t="shared" si="21"/>
        <v>3146</v>
      </c>
      <c r="U290" t="str">
        <f t="shared" si="22"/>
        <v>No</v>
      </c>
      <c r="V290">
        <f t="shared" si="23"/>
        <v>0</v>
      </c>
      <c r="W290" t="str">
        <f t="shared" si="24"/>
        <v>No</v>
      </c>
    </row>
    <row r="291" spans="1:23" x14ac:dyDescent="0.3">
      <c r="A291" s="5" t="s">
        <v>593</v>
      </c>
      <c r="B291" s="5" t="s">
        <v>594</v>
      </c>
      <c r="C291" s="5" t="s">
        <v>59</v>
      </c>
      <c r="D291" s="5" t="s">
        <v>87</v>
      </c>
      <c r="E291" s="16">
        <v>45510</v>
      </c>
      <c r="F291" s="16">
        <v>45724</v>
      </c>
      <c r="G291" s="16">
        <v>45717</v>
      </c>
      <c r="H291" s="5" t="s">
        <v>89</v>
      </c>
      <c r="I291" s="5" t="s">
        <v>42</v>
      </c>
      <c r="J291" s="5" t="s">
        <v>90</v>
      </c>
      <c r="K291" s="5" t="s">
        <v>114</v>
      </c>
      <c r="L291" s="5" t="s">
        <v>596</v>
      </c>
      <c r="M291" s="5" t="s">
        <v>77</v>
      </c>
      <c r="N291" s="5" t="s">
        <v>51</v>
      </c>
      <c r="O291" s="5">
        <v>17</v>
      </c>
      <c r="P291" s="7">
        <v>2335</v>
      </c>
      <c r="Q291" s="7">
        <v>0</v>
      </c>
      <c r="R291" s="17">
        <v>0.2</v>
      </c>
      <c r="S291">
        <f t="shared" si="20"/>
        <v>214</v>
      </c>
      <c r="T291">
        <f t="shared" si="21"/>
        <v>467</v>
      </c>
      <c r="U291" t="str">
        <f t="shared" si="22"/>
        <v>No</v>
      </c>
      <c r="V291">
        <f t="shared" si="23"/>
        <v>0</v>
      </c>
      <c r="W291" t="str">
        <f t="shared" si="24"/>
        <v>No</v>
      </c>
    </row>
    <row r="292" spans="1:23" x14ac:dyDescent="0.3">
      <c r="A292" s="12" t="s">
        <v>593</v>
      </c>
      <c r="B292" s="12" t="s">
        <v>594</v>
      </c>
      <c r="C292" s="12" t="s">
        <v>59</v>
      </c>
      <c r="D292" s="12" t="s">
        <v>34</v>
      </c>
      <c r="E292" s="13">
        <v>45510</v>
      </c>
      <c r="F292" s="13">
        <v>45647</v>
      </c>
      <c r="G292" s="13">
        <v>45627</v>
      </c>
      <c r="H292" s="12" t="s">
        <v>81</v>
      </c>
      <c r="I292" s="12" t="s">
        <v>42</v>
      </c>
      <c r="J292" s="12" t="s">
        <v>88</v>
      </c>
      <c r="K292" s="12" t="s">
        <v>116</v>
      </c>
      <c r="L292" s="12" t="s">
        <v>597</v>
      </c>
      <c r="M292" s="12" t="s">
        <v>77</v>
      </c>
      <c r="N292" s="12" t="s">
        <v>56</v>
      </c>
      <c r="O292" s="12">
        <v>32</v>
      </c>
      <c r="P292" s="14">
        <v>3956</v>
      </c>
      <c r="Q292" s="14">
        <v>0</v>
      </c>
      <c r="R292" s="15">
        <v>0.66</v>
      </c>
      <c r="S292">
        <f t="shared" si="20"/>
        <v>137</v>
      </c>
      <c r="T292">
        <f t="shared" si="21"/>
        <v>2610.96</v>
      </c>
      <c r="U292" t="str">
        <f t="shared" si="22"/>
        <v>No</v>
      </c>
      <c r="V292">
        <f t="shared" si="23"/>
        <v>0</v>
      </c>
      <c r="W292" t="str">
        <f t="shared" si="24"/>
        <v>No</v>
      </c>
    </row>
    <row r="293" spans="1:23" x14ac:dyDescent="0.3">
      <c r="A293" s="5" t="s">
        <v>598</v>
      </c>
      <c r="B293" s="5" t="s">
        <v>599</v>
      </c>
      <c r="C293" s="5" t="s">
        <v>43</v>
      </c>
      <c r="D293" s="5" t="s">
        <v>52</v>
      </c>
      <c r="E293" s="16">
        <v>45519</v>
      </c>
      <c r="F293" s="16">
        <v>45680</v>
      </c>
      <c r="G293" s="16">
        <v>45658</v>
      </c>
      <c r="H293" s="5" t="s">
        <v>83</v>
      </c>
      <c r="I293" s="5" t="s">
        <v>30</v>
      </c>
      <c r="J293" s="5" t="s">
        <v>90</v>
      </c>
      <c r="K293" s="5" t="s">
        <v>112</v>
      </c>
      <c r="L293" s="5" t="s">
        <v>600</v>
      </c>
      <c r="M293" s="5" t="s">
        <v>73</v>
      </c>
      <c r="N293" s="5" t="s">
        <v>39</v>
      </c>
      <c r="O293" s="5">
        <v>12</v>
      </c>
      <c r="P293" s="7">
        <v>8906</v>
      </c>
      <c r="Q293" s="7">
        <v>0</v>
      </c>
      <c r="R293" s="17">
        <v>0.67</v>
      </c>
      <c r="S293">
        <f t="shared" si="20"/>
        <v>161</v>
      </c>
      <c r="T293">
        <f t="shared" si="21"/>
        <v>5967.02</v>
      </c>
      <c r="U293" t="str">
        <f t="shared" si="22"/>
        <v>No</v>
      </c>
      <c r="V293">
        <f t="shared" si="23"/>
        <v>0</v>
      </c>
      <c r="W293" t="str">
        <f t="shared" si="24"/>
        <v>No</v>
      </c>
    </row>
    <row r="294" spans="1:23" x14ac:dyDescent="0.3">
      <c r="A294" s="12" t="s">
        <v>598</v>
      </c>
      <c r="B294" s="12" t="s">
        <v>599</v>
      </c>
      <c r="C294" s="12" t="s">
        <v>43</v>
      </c>
      <c r="D294" s="12" t="s">
        <v>57</v>
      </c>
      <c r="E294" s="13">
        <v>45519</v>
      </c>
      <c r="F294" s="13">
        <v>45685</v>
      </c>
      <c r="G294" s="13">
        <v>45658</v>
      </c>
      <c r="H294" s="12" t="s">
        <v>83</v>
      </c>
      <c r="I294" s="12" t="s">
        <v>30</v>
      </c>
      <c r="J294" s="12" t="s">
        <v>90</v>
      </c>
      <c r="K294" s="12" t="s">
        <v>114</v>
      </c>
      <c r="L294" s="12" t="s">
        <v>601</v>
      </c>
      <c r="M294" s="12" t="s">
        <v>77</v>
      </c>
      <c r="N294" s="12" t="s">
        <v>33</v>
      </c>
      <c r="O294" s="12">
        <v>25</v>
      </c>
      <c r="P294" s="14">
        <v>8346</v>
      </c>
      <c r="Q294" s="14">
        <v>0</v>
      </c>
      <c r="R294" s="15">
        <v>0.83</v>
      </c>
      <c r="S294">
        <f t="shared" si="20"/>
        <v>166</v>
      </c>
      <c r="T294">
        <f t="shared" si="21"/>
        <v>6927.1799999999994</v>
      </c>
      <c r="U294" t="str">
        <f t="shared" si="22"/>
        <v>No</v>
      </c>
      <c r="V294">
        <f t="shared" si="23"/>
        <v>0</v>
      </c>
      <c r="W294" t="str">
        <f t="shared" si="24"/>
        <v>No</v>
      </c>
    </row>
    <row r="295" spans="1:23" x14ac:dyDescent="0.3">
      <c r="A295" s="5" t="s">
        <v>598</v>
      </c>
      <c r="B295" s="5" t="s">
        <v>599</v>
      </c>
      <c r="C295" s="5" t="s">
        <v>43</v>
      </c>
      <c r="D295" s="5" t="s">
        <v>40</v>
      </c>
      <c r="E295" s="16">
        <v>45519</v>
      </c>
      <c r="F295" s="16">
        <v>45774</v>
      </c>
      <c r="G295" s="16">
        <v>45748</v>
      </c>
      <c r="H295" s="5" t="s">
        <v>91</v>
      </c>
      <c r="I295" s="5" t="s">
        <v>30</v>
      </c>
      <c r="J295" s="5" t="s">
        <v>88</v>
      </c>
      <c r="K295" s="5" t="s">
        <v>116</v>
      </c>
      <c r="L295" s="5" t="s">
        <v>602</v>
      </c>
      <c r="M295" s="5" t="s">
        <v>73</v>
      </c>
      <c r="N295" s="5" t="s">
        <v>33</v>
      </c>
      <c r="O295" s="5">
        <v>20</v>
      </c>
      <c r="P295" s="7">
        <v>5134</v>
      </c>
      <c r="Q295" s="7">
        <v>0</v>
      </c>
      <c r="R295" s="17">
        <v>0.3</v>
      </c>
      <c r="S295">
        <f t="shared" si="20"/>
        <v>255</v>
      </c>
      <c r="T295">
        <f t="shared" si="21"/>
        <v>1540.2</v>
      </c>
      <c r="U295" t="str">
        <f t="shared" si="22"/>
        <v>No</v>
      </c>
      <c r="V295">
        <f t="shared" si="23"/>
        <v>0</v>
      </c>
      <c r="W295" t="str">
        <f t="shared" si="24"/>
        <v>No</v>
      </c>
    </row>
    <row r="296" spans="1:23" x14ac:dyDescent="0.3">
      <c r="A296" s="12" t="s">
        <v>603</v>
      </c>
      <c r="B296" s="12" t="s">
        <v>604</v>
      </c>
      <c r="C296" s="12" t="s">
        <v>59</v>
      </c>
      <c r="D296" s="12" t="s">
        <v>75</v>
      </c>
      <c r="E296" s="13">
        <v>45443</v>
      </c>
      <c r="F296" s="13">
        <v>45648</v>
      </c>
      <c r="G296" s="13">
        <v>45627</v>
      </c>
      <c r="H296" s="12" t="s">
        <v>81</v>
      </c>
      <c r="I296" s="12" t="s">
        <v>30</v>
      </c>
      <c r="J296" s="12" t="s">
        <v>90</v>
      </c>
      <c r="K296" s="12" t="s">
        <v>112</v>
      </c>
      <c r="L296" s="12" t="s">
        <v>605</v>
      </c>
      <c r="M296" s="12" t="s">
        <v>77</v>
      </c>
      <c r="N296" s="12" t="s">
        <v>33</v>
      </c>
      <c r="O296" s="12">
        <v>7</v>
      </c>
      <c r="P296" s="14">
        <v>7307</v>
      </c>
      <c r="Q296" s="14">
        <v>0</v>
      </c>
      <c r="R296" s="15">
        <v>0.14000000000000001</v>
      </c>
      <c r="S296">
        <f t="shared" si="20"/>
        <v>205</v>
      </c>
      <c r="T296">
        <f t="shared" si="21"/>
        <v>1022.9800000000001</v>
      </c>
      <c r="U296" t="str">
        <f t="shared" si="22"/>
        <v>No</v>
      </c>
      <c r="V296">
        <f t="shared" si="23"/>
        <v>0</v>
      </c>
      <c r="W296" t="str">
        <f t="shared" si="24"/>
        <v>No</v>
      </c>
    </row>
    <row r="297" spans="1:23" x14ac:dyDescent="0.3">
      <c r="A297" s="5" t="s">
        <v>603</v>
      </c>
      <c r="B297" s="5" t="s">
        <v>604</v>
      </c>
      <c r="C297" s="5" t="s">
        <v>59</v>
      </c>
      <c r="D297" s="5" t="s">
        <v>71</v>
      </c>
      <c r="E297" s="16">
        <v>45443</v>
      </c>
      <c r="F297" s="16">
        <v>45717</v>
      </c>
      <c r="G297" s="16">
        <v>45717</v>
      </c>
      <c r="H297" s="5" t="s">
        <v>89</v>
      </c>
      <c r="I297" s="5" t="s">
        <v>30</v>
      </c>
      <c r="J297" s="5" t="s">
        <v>88</v>
      </c>
      <c r="K297" s="5" t="s">
        <v>114</v>
      </c>
      <c r="L297" s="5" t="s">
        <v>606</v>
      </c>
      <c r="M297" s="5" t="s">
        <v>77</v>
      </c>
      <c r="N297" s="5" t="s">
        <v>56</v>
      </c>
      <c r="O297" s="5">
        <v>5</v>
      </c>
      <c r="P297" s="7">
        <v>9425</v>
      </c>
      <c r="Q297" s="7">
        <v>0</v>
      </c>
      <c r="R297" s="17">
        <v>0.36</v>
      </c>
      <c r="S297">
        <f t="shared" si="20"/>
        <v>274</v>
      </c>
      <c r="T297">
        <f t="shared" si="21"/>
        <v>3393</v>
      </c>
      <c r="U297" t="str">
        <f t="shared" si="22"/>
        <v>No</v>
      </c>
      <c r="V297">
        <f t="shared" si="23"/>
        <v>0</v>
      </c>
      <c r="W297" t="str">
        <f t="shared" si="24"/>
        <v>No</v>
      </c>
    </row>
    <row r="298" spans="1:23" x14ac:dyDescent="0.3">
      <c r="A298" s="12" t="s">
        <v>603</v>
      </c>
      <c r="B298" s="12" t="s">
        <v>604</v>
      </c>
      <c r="C298" s="12" t="s">
        <v>59</v>
      </c>
      <c r="D298" s="12" t="s">
        <v>87</v>
      </c>
      <c r="E298" s="13">
        <v>45443</v>
      </c>
      <c r="F298" s="13">
        <v>45727</v>
      </c>
      <c r="G298" s="13">
        <v>45717</v>
      </c>
      <c r="H298" s="12" t="s">
        <v>89</v>
      </c>
      <c r="I298" s="12" t="s">
        <v>30</v>
      </c>
      <c r="J298" s="12" t="s">
        <v>88</v>
      </c>
      <c r="K298" s="12" t="s">
        <v>116</v>
      </c>
      <c r="L298" s="12" t="s">
        <v>607</v>
      </c>
      <c r="M298" s="12" t="s">
        <v>77</v>
      </c>
      <c r="N298" s="12" t="s">
        <v>45</v>
      </c>
      <c r="O298" s="12">
        <v>19</v>
      </c>
      <c r="P298" s="14">
        <v>5199</v>
      </c>
      <c r="Q298" s="14">
        <v>0</v>
      </c>
      <c r="R298" s="15">
        <v>0.91</v>
      </c>
      <c r="S298">
        <f t="shared" si="20"/>
        <v>284</v>
      </c>
      <c r="T298">
        <f t="shared" si="21"/>
        <v>4731.09</v>
      </c>
      <c r="U298" t="str">
        <f t="shared" si="22"/>
        <v>No</v>
      </c>
      <c r="V298">
        <f t="shared" si="23"/>
        <v>0</v>
      </c>
      <c r="W298" t="str">
        <f t="shared" si="24"/>
        <v>No</v>
      </c>
    </row>
    <row r="299" spans="1:23" x14ac:dyDescent="0.3">
      <c r="A299" s="5" t="s">
        <v>608</v>
      </c>
      <c r="B299" s="5" t="s">
        <v>609</v>
      </c>
      <c r="C299" s="5" t="s">
        <v>59</v>
      </c>
      <c r="D299" s="5" t="s">
        <v>34</v>
      </c>
      <c r="E299" s="16">
        <v>45512</v>
      </c>
      <c r="F299" s="16">
        <v>45537</v>
      </c>
      <c r="G299" s="16">
        <v>45536</v>
      </c>
      <c r="H299" s="5" t="s">
        <v>69</v>
      </c>
      <c r="I299" s="5" t="s">
        <v>36</v>
      </c>
      <c r="J299" s="5" t="s">
        <v>90</v>
      </c>
      <c r="K299" s="5" t="s">
        <v>112</v>
      </c>
      <c r="L299" s="5" t="s">
        <v>610</v>
      </c>
      <c r="M299" s="5" t="s">
        <v>77</v>
      </c>
      <c r="N299" s="5" t="s">
        <v>33</v>
      </c>
      <c r="O299" s="5">
        <v>30</v>
      </c>
      <c r="P299" s="7">
        <v>2156</v>
      </c>
      <c r="Q299" s="7">
        <v>0</v>
      </c>
      <c r="R299" s="17">
        <v>0.85</v>
      </c>
      <c r="S299">
        <f t="shared" si="20"/>
        <v>25</v>
      </c>
      <c r="T299">
        <f t="shared" si="21"/>
        <v>1832.6</v>
      </c>
      <c r="U299" t="str">
        <f t="shared" si="22"/>
        <v>No</v>
      </c>
      <c r="V299">
        <f t="shared" si="23"/>
        <v>0</v>
      </c>
      <c r="W299" t="str">
        <f t="shared" si="24"/>
        <v>No</v>
      </c>
    </row>
    <row r="300" spans="1:23" x14ac:dyDescent="0.3">
      <c r="A300" s="12" t="s">
        <v>608</v>
      </c>
      <c r="B300" s="12" t="s">
        <v>609</v>
      </c>
      <c r="C300" s="12" t="s">
        <v>59</v>
      </c>
      <c r="D300" s="12" t="s">
        <v>46</v>
      </c>
      <c r="E300" s="13">
        <v>45512</v>
      </c>
      <c r="F300" s="13">
        <v>45534</v>
      </c>
      <c r="G300" s="13">
        <v>45505</v>
      </c>
      <c r="H300" s="12" t="s">
        <v>65</v>
      </c>
      <c r="I300" s="12" t="s">
        <v>36</v>
      </c>
      <c r="J300" s="12" t="s">
        <v>90</v>
      </c>
      <c r="K300" s="12" t="s">
        <v>114</v>
      </c>
      <c r="L300" s="12" t="s">
        <v>611</v>
      </c>
      <c r="M300" s="12" t="s">
        <v>77</v>
      </c>
      <c r="N300" s="12" t="s">
        <v>66</v>
      </c>
      <c r="O300" s="12">
        <v>12</v>
      </c>
      <c r="P300" s="14">
        <v>1502</v>
      </c>
      <c r="Q300" s="14">
        <v>0</v>
      </c>
      <c r="R300" s="15">
        <v>0.02</v>
      </c>
      <c r="S300">
        <f t="shared" si="20"/>
        <v>22</v>
      </c>
      <c r="T300">
        <f t="shared" si="21"/>
        <v>30.04</v>
      </c>
      <c r="U300" t="str">
        <f t="shared" si="22"/>
        <v>No</v>
      </c>
      <c r="V300">
        <f t="shared" si="23"/>
        <v>0</v>
      </c>
      <c r="W300" t="str">
        <f t="shared" si="24"/>
        <v>No</v>
      </c>
    </row>
    <row r="301" spans="1:23" x14ac:dyDescent="0.3">
      <c r="A301" s="5" t="s">
        <v>608</v>
      </c>
      <c r="B301" s="5" t="s">
        <v>609</v>
      </c>
      <c r="C301" s="5" t="s">
        <v>59</v>
      </c>
      <c r="D301" s="5" t="s">
        <v>34</v>
      </c>
      <c r="E301" s="16">
        <v>45512</v>
      </c>
      <c r="F301" s="16">
        <v>45534</v>
      </c>
      <c r="G301" s="16">
        <v>45505</v>
      </c>
      <c r="H301" s="5" t="s">
        <v>65</v>
      </c>
      <c r="I301" s="5" t="s">
        <v>36</v>
      </c>
      <c r="J301" s="5" t="s">
        <v>90</v>
      </c>
      <c r="K301" s="5" t="s">
        <v>116</v>
      </c>
      <c r="L301" s="5" t="s">
        <v>612</v>
      </c>
      <c r="M301" s="5" t="s">
        <v>73</v>
      </c>
      <c r="N301" s="5" t="s">
        <v>39</v>
      </c>
      <c r="O301" s="5">
        <v>38</v>
      </c>
      <c r="P301" s="7">
        <v>8619</v>
      </c>
      <c r="Q301" s="7">
        <v>0</v>
      </c>
      <c r="R301" s="17">
        <v>0.86</v>
      </c>
      <c r="S301">
        <f t="shared" si="20"/>
        <v>22</v>
      </c>
      <c r="T301">
        <f t="shared" si="21"/>
        <v>7412.34</v>
      </c>
      <c r="U301" t="str">
        <f t="shared" si="22"/>
        <v>No</v>
      </c>
      <c r="V301">
        <f t="shared" si="23"/>
        <v>0</v>
      </c>
      <c r="W301" t="str">
        <f t="shared" si="24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Data Model</vt:lpstr>
      <vt:lpstr>Dataset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Md.Nazmul Hossain</cp:lastModifiedBy>
  <cp:revision>1</cp:revision>
  <cp:lastPrinted>2026-06-05T17:35:44Z</cp:lastPrinted>
  <dcterms:created xsi:type="dcterms:W3CDTF">2026-06-04T10:56:34Z</dcterms:created>
  <dcterms:modified xsi:type="dcterms:W3CDTF">2026-06-05T17:43:34Z</dcterms:modified>
  <dc:language>en-US</dc:language>
</cp:coreProperties>
</file>